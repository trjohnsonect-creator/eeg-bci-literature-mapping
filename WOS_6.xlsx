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vedrecs" sheetId="1" r:id="rId4"/>
    <sheet state="visible" name="Sheet1" sheetId="2" r:id="rId5"/>
  </sheets>
  <definedNames/>
  <calcPr/>
  <extLst>
    <ext uri="GoogleSheetsCustomDataVersion2">
      <go:sheetsCustomData xmlns:go="http://customooxmlschemas.google.com/" r:id="rId6" roundtripDataChecksum="dVgoGeQDfPpy4Lg0LTuSGWI/IMNJA/rHOTD1itxx+3M="/>
    </ext>
  </extLst>
</workbook>
</file>

<file path=xl/sharedStrings.xml><?xml version="1.0" encoding="utf-8"?>
<sst xmlns="http://schemas.openxmlformats.org/spreadsheetml/2006/main" count="12868" uniqueCount="2930">
  <si>
    <t>READER</t>
  </si>
  <si>
    <t>Summary (Enter here or paste doc link)</t>
  </si>
  <si>
    <t>Rating (1-10)</t>
  </si>
  <si>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</si>
  <si>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</si>
  <si>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</si>
  <si>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</si>
  <si>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</si>
  <si>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</si>
  <si>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</si>
  <si>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</si>
  <si>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</si>
  <si>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</si>
  <si>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</si>
  <si>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</si>
  <si>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</si>
  <si>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</si>
  <si>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</si>
  <si>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</si>
  <si>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</si>
  <si>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</si>
  <si>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</si>
  <si>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</si>
  <si>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</si>
  <si>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</si>
  <si>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</si>
  <si>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</si>
  <si>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</si>
  <si>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</si>
  <si>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</si>
  <si>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</si>
  <si>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</si>
  <si>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</si>
  <si>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</si>
  <si>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</si>
  <si>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</si>
  <si>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</si>
  <si>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</si>
  <si>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</si>
  <si>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</si>
  <si>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</si>
  <si>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</si>
  <si>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</si>
  <si>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</si>
  <si>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</si>
  <si>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</si>
  <si>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</si>
  <si>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</si>
  <si>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</si>
  <si>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</si>
  <si>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</si>
  <si>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</si>
  <si>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</si>
  <si>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</si>
  <si>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</si>
  <si>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</si>
  <si>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</si>
  <si>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</si>
  <si>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</si>
  <si>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</si>
  <si>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</si>
  <si>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</si>
  <si>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</si>
  <si>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</si>
  <si>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</si>
  <si>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</si>
  <si>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</si>
  <si>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</si>
  <si>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</si>
  <si>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</si>
  <si>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</si>
  <si>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</si>
  <si>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</si>
  <si>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</si>
  <si>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</si>
  <si>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Ben</t>
  </si>
  <si>
    <t>https://docs.google.com/document/d/1_Jo1FZ6KnL5kAKARYkGS4DvNhinekTFwl5ZE1JimWdk/edit?usp=sharing</t>
  </si>
  <si>
    <t>C</t>
  </si>
  <si>
    <t>Yu, GJ; Wang, JH; Chen, WH; Zhang, JB</t>
  </si>
  <si>
    <t/>
  </si>
  <si>
    <t>IEEE</t>
  </si>
  <si>
    <t>Yu, Gaojie; Wang, Jianhua; Chen, Weihai; Zhang, Jianbin</t>
  </si>
  <si>
    <t>EEG-Based Brain-controlled Lower Extremity Exoskeleton Rehabilitation Robot</t>
  </si>
  <si>
    <t>2017 IEEE INTERNATIONAL CONFERENCE ON CYBERNETICS AND INTELLIGENT SYSTEMS (CIS) AND IEEE CONFERENCE ON ROBOTICS, AUTOMATION AND MECHATRONICS (RAM)</t>
  </si>
  <si>
    <t>Proceedings Paper</t>
  </si>
  <si>
    <t>Brain-computer Interface (BCI); Electroencephalography (EEG); Motor Imagery (MI); Exoskeleton Rehabilitation Robot</t>
  </si>
  <si>
    <t>MOTOR IMAGERY</t>
  </si>
  <si>
    <t>Brain-computer interfaces (BCIs), based on electroencephalography (EEG), have been proved to play an important role in motor rehabilitation, motor replacement, prosthesis control, and assistive technologies. BCIs can classify EEG signals and translate the brain activities into useful commands for external devices. This paper presents a brain-controlled lower extremity exoskeleton rehabilitation robot with a motor-imagery (MI)-based BCI to enhance active rehabilitation participation. Four healthy individuals performed MI tasks of left and right hand movements to control the speed of gait training. The proposed paradigm could be further implemented by adding motor tasks and promoting MI classification accuracy.</t>
  </si>
  <si>
    <t>[Yu, Gaojie; Wang, Jianhua; Chen, Weihai] Beihang Univ, Sch Automat Sci &amp; Elect Engn, Beijing 100191, Peoples R China; [Zhang, Jianbin] Beihang Univ, Sch Mech Engn &amp; Automat, Beijing 100191, Peoples R China</t>
  </si>
  <si>
    <t>Beihang University; Beihang University</t>
  </si>
  <si>
    <t>Chen, WH (corresponding author), Beihang Univ, Sch Automat Sci &amp; Elect Engn, Beijing 100191, Peoples R China.</t>
  </si>
  <si>
    <t>buaayugaojie@163.com; jhwangbuaa@126.com; whchenbuaa@126.com; jbzhangbuaa@163.com</t>
  </si>
  <si>
    <t>Chen, Wei-Hai/AAU-3487-2020; Zhang/L-7398-2019</t>
  </si>
  <si>
    <t>/0009-0006-1337-808X</t>
  </si>
  <si>
    <t>Automation &amp; Control Systems; Computer Science; Engineering; Robotics</t>
  </si>
  <si>
    <t>2025-10-26</t>
  </si>
  <si>
    <t>WOS:000425928100137</t>
  </si>
  <si>
    <t>Zhang, YW; Wang, WZ; Liu, G; Qiao, Y; Shi, RC; Duan, YH; Du, Y; Li, SN; Guo, FR; McHugh, TJ; Duan, F</t>
  </si>
  <si>
    <t>Zhang, Yiwen; Wang, Wenzhi; Liu, Gan; Qiao, Yi; Shi, Ruochuan; Duan, Yahan; Du, Ying; Li, Sining; Guo, Fengrui; McHugh, Thomas John; Duan, Feng</t>
  </si>
  <si>
    <t>Research on EEG signal classification method based on brain-computer interface control of rehabilitation robot</t>
  </si>
  <si>
    <t>2024 17TH INTERNATIONAL CONVENTION ON REHABILITATION ENGINEERING AND ASSISTIVE TECHNOLOGY, I-CREATE 2024</t>
  </si>
  <si>
    <t>NEURAL-NETWORKS</t>
  </si>
  <si>
    <t>Brain-computer interface (BCI) control of multiple rehabilitation robots provides a novel type of human-robot interaction and an important research direction in the field of intelligent rehabilitation. However, most current EEG signal classification algorithms for controlling rehabilitation robots exhibit several drawbacks, including a lack of novelty, insufficient classification accuracy and poor adaptability to different experimental paradigms. Therefore, we designed a new deep-learning method to classify EEG signals to enhance the effectiveness of BCI control of rehabilitation robots. Here we apply this method to classify EEG signals and control the rehabilitation robot to accomplish a target task. In addition, we compare our algorithm with several different EEG signal classification algorithms in two experimental paradigms: motor imagery and motor execution. Our deep learning method has the highest offline accuracy of 72.7% and an average accuracy of 72.4% under the motor imagery experimental paradigm, and the highest offline accuracy of 97.5% and an average accuracy of 90.4% under the motor execution experimental paradigm. These results show that our EEG signal classification algorithms is more effective compared to other EEG signal classification algorithms and can effectively be used to control a rehabilitation robot across a wider range of applications.</t>
  </si>
  <si>
    <t>[Zhang, Yiwen; Wang, Wenzhi; Liu, Gan; Qiao, Yi; Shi, Ruochuan; Duan, Yahan; Du, Ying; Li, Sining; Guo, Fengrui; Duan, Feng] Nankai Univ, Tianjin key Lab Intervent Brain Comp Interface &amp;, 38 Tongyan Rd, Tianjin 300350, Peoples R China; [Li, Sining; McHugh, Thomas John] RIKEN, Ctr Brain Sci, Lab Circuit &amp; Behav Physiol, Wako, Saitama, Japan; [McHugh, Thomas John] Univ Tokyo, Grad Sch Arts &amp; Sci, Dept Life Sci, Tokyo, Japan</t>
  </si>
  <si>
    <t>Nankai University; RIKEN; University of Tokyo</t>
  </si>
  <si>
    <t>Duan, F (corresponding author), Nankai Univ, Tianjin key Lab Intervent Brain Comp Interface &amp;, 38 Tongyan Rd, Tianjin 300350, Peoples R China.;McHugh, TJ (corresponding author), RIKEN, Ctr Brain Sci, Lab Circuit &amp; Behav Physiol, Wako, Saitama, Japan.;McHugh, TJ (corresponding author), Univ Tokyo, Grad Sch Arts &amp; Sci, Dept Life Sci, Tokyo, Japan.</t>
  </si>
  <si>
    <t>thomas.mchugh@riken.jp; duanf@nankai.edu.cn</t>
  </si>
  <si>
    <t>McHugh, Thomas/A-6693-2010</t>
  </si>
  <si>
    <t>10.1109/I-CREATE62067.2024.10776552</t>
  </si>
  <si>
    <t>Engineering; Rehabilitation</t>
  </si>
  <si>
    <t>WOS:001445884200040</t>
  </si>
  <si>
    <t>Shajil, N; Sasikala, M; Arunnagiri, AM</t>
  </si>
  <si>
    <t>Shajil, Nijisha; Sasikala, M.; Arunnagiri, A. M.</t>
  </si>
  <si>
    <t>Deep Learning Classification of two-class Motor Imagery EEG signals using Transfer Learning</t>
  </si>
  <si>
    <t>2020 INTERNATIONAL CONFERENCE ON E-HEALTH AND BIOENGINEERING (EHB)</t>
  </si>
  <si>
    <t>E-Health and Bioengineering Conference</t>
  </si>
  <si>
    <t>Motor imagery EEG; Convolutional Neural Network (CNN); Pre-trained classifier; Transfer learning; Brain-Computer Interface (BCI)</t>
  </si>
  <si>
    <t>Motor imagery (MI) based Brain-Computer Interface (BCI) system uses Electroencephalography (EEG) signals recorded over the scalp during imagination of motor movements to control a computer or mobility device. Such systems require a method to classify the acquired MI EEG signals into commands. In this study, three pre-trained Convolutional Neural Networks (CNN) models- AlexNet, ResNet50 and InceptionV3 are studied for the classification of Left-hand and Right- hand MI EEG signals. BCI Competition IV dataset 2a and acquired MI EEG dataset of nine healthy subjects are used to study the classification performance. Classification results show that transfer learning using InceptionV3 model produces the highest classification accuracy of 82.78 +/- 4.87% for the BCI competition dataset and 83.79 +/- 3.49% for the acquired dataset compared to AlexNet and ResNet50. Hence, InceptionV3 CNN can be used to efficiently classify MI signals in BCI systems to aide people suffering from neuromuscular disorders by replacing or restoring motor functions.</t>
  </si>
  <si>
    <t>[Shajil, Nijisha; Sasikala, M.; Arunnagiri, A. M.] Anna Univ, Coll Engn Guindy, Dept Elect &amp; Commun Engn, Chennai, Tamil Nadu, India</t>
  </si>
  <si>
    <t>Anna University; Anna University Chennai; College of Engineering Guindy</t>
  </si>
  <si>
    <t>Shajil, N (corresponding author), Anna Univ, Coll Engn Guindy, Dept Elect &amp; Commun Engn, Chennai, Tamil Nadu, India.</t>
  </si>
  <si>
    <t>detectivejiju@gmail.com; sasikala@annauniv.edu; arunnagiri24@gmail.com</t>
  </si>
  <si>
    <t>A M, Arunnagiri/AAC-4397-2022; mohan, sasikala/AGX-1575-2022; Shajil, Nijisha/JPK-9312-2023</t>
  </si>
  <si>
    <t>Shajil, Nijisha/0000-0001-9309-3362;</t>
  </si>
  <si>
    <t>10.1109/ehb50910.2020.9280257</t>
  </si>
  <si>
    <t>Health Care Sciences &amp; Services; Engineering</t>
  </si>
  <si>
    <t>WOS:000646194100126</t>
  </si>
  <si>
    <t>Helen, R; Gopinath, S</t>
  </si>
  <si>
    <t>Helen, R.; Gopinath, S.</t>
  </si>
  <si>
    <t>BCI SYSTEM TO CLASSIFY EEG STIMULUS PATTERN</t>
  </si>
  <si>
    <t>PROCEEDINGS OF 2016 ONLINE INTERNATIONAL CONFERENCE ON GREEN ENGINEERING AND TECHNOLOGIES (IC-GET)</t>
  </si>
  <si>
    <t>Brain-computer interface; Motor imagery; CSP; SVM</t>
  </si>
  <si>
    <t>Brain Computer Interface (BCI) is a system to control human brain activities. BCI system was useful for the disabled or paralyzed peoples. The main objective of this work is to develop a BCI system to classify EEG stimulus pattern for motor imagery. For the improvement of classification feature extraction should be best one. Here Common Spatial Pattern (CSP) technique has been applied for extraction of features. Support Vector Machine (SVM) technique is used for classification. By this technique classification error rate was reduced to great extent. Band Pass Filter was used for signal preprocessing.</t>
  </si>
  <si>
    <t>[Helen, R.; Gopinath, S.] Thiagarajar Coll Engn, Dept Elect &amp; Elect Engn, Madurai 625015, Tamil Nadu, India</t>
  </si>
  <si>
    <t>Thiagarajar College of Engineering</t>
  </si>
  <si>
    <t>Helen, R (corresponding author), Thiagarajar Coll Engn, Dept Elect &amp; Elect Engn, Madurai 625015, Tamil Nadu, India.</t>
  </si>
  <si>
    <t>rheee@tce.edu; gopinathan404@gmail.com</t>
  </si>
  <si>
    <t>; R, HELEN/AAP-8894-2020; Gopinath, Subash/D-2953-2015</t>
  </si>
  <si>
    <t>Gopinath, Subash C.B./0000-0002-8347-4687;</t>
  </si>
  <si>
    <t>Engineering</t>
  </si>
  <si>
    <t>WOS:000405375600147</t>
  </si>
  <si>
    <t>Chowdhury, MA; Saha, DK</t>
  </si>
  <si>
    <t>Chowdhury, Md Abu Shahid; Saha, Dabasish Kumar</t>
  </si>
  <si>
    <t>Processing of Motor Imagery EEG Signals for Controlling the Opening and the Closing of Artificial Hand</t>
  </si>
  <si>
    <t>2019 4TH INTERNATIONAL CONFERENCE ON ELECTRICAL INFORMATION AND COMMUNICATION TECHNOLOGY (EICT)</t>
  </si>
  <si>
    <t>International Conference on Electrical Engineering and Information Communication Technology</t>
  </si>
  <si>
    <t>Brain-Computer Interface (BCI); Electroencephalogram (EEG); Motor Imagery (MI); AcqKnowledge; Microcontroller</t>
  </si>
  <si>
    <t>This paper presents the designing and implementation of a brain-computer interface (BCI) system that can control the opening and closing of an artificial hand. The developed system is based on the detection of motor imagery (MI) task from electroencephalogram (EEG) signal through classification and translating it to control the movements of an artificial hand. B-Alert EEG headset is used for the recording of 9 EEG channels data and communicates with a personal computer that runs AcqKnowledge 4.1 for acquiring desired EEG data from the headset. The recorded signals are Cross-correlated (CC) to extract optimal features and support vector machine (SVM) algorithm is used to classify the different MI tasks. The output of the developed CC-SVM system is interfaced with a microcontroller that receives commands and decodes them for controlling the movements of the hand attached to it. The result suggests that patients with severe motor disabilities can be rehabilitated through this system.</t>
  </si>
  <si>
    <t>[Chowdhury, Md Abu Shahid; Saha, Dabasish Kumar] Khulna Univ Engn &amp; Technol KUET, Dept Biomed Engn, Khulna 9203, Bangladesh</t>
  </si>
  <si>
    <t>Khulna University of Engineering &amp; Technology (KUET)</t>
  </si>
  <si>
    <t>Chowdhury, MA (corresponding author), Khulna Univ Engn &amp; Technol KUET, Dept Biomed Engn, Khulna 9203, Bangladesh.</t>
  </si>
  <si>
    <t>shahidchowdhurybme@gmail.com; debasish.saha18@yahoo.com</t>
  </si>
  <si>
    <t>Computer Science; Engineering</t>
  </si>
  <si>
    <t>WOS:000569754800081</t>
  </si>
  <si>
    <t>Chacko, SG; Tayade, P; Kaur, S; Sharma, R</t>
  </si>
  <si>
    <t>Chacko, Siju G.; Tayade, Prashant; Kaur, Simran; Sharma, Ratna</t>
  </si>
  <si>
    <t>Creation of a high resolution EEG based Brain Computer Interface for classifying motor imagery of daily life activities</t>
  </si>
  <si>
    <t>2019 7TH INTERNATIONAL WINTER CONFERENCE ON BRAIN-COMPUTER INTERFACE (BCI)</t>
  </si>
  <si>
    <t>International Winter Workshop on Brain-Computer Interface</t>
  </si>
  <si>
    <t>Brain Computer Interface; Motor Imagery; Machine Learning</t>
  </si>
  <si>
    <t>Application of Brain Computer Interface (BCI) is revolutionizing control of prosthetic or exoskeleton devices directly through human thought. A BCI is expected to classify day-to-day life activities like grabbing and lifting a glass of water. Currently, motor imagery based BCI for two closely separated muscle groups like grabbing and lifting an object has not been studied. Challenge of classifying motor imagery of these activities accurately could be solved by using individual BCI. We proposed to achieve the same by using a neural network (machine learning) classifier on high resolution (129 channel) EEG data evaluated continuously every 80ms after spatial filtering using spherical Laplacian. This study employed a motor imagery based BCI optimized for individual subjects (n=28) using EEG data of actual movement for classifying motor imagery of grab, lift and grab+lift of right forearm. A three layered neural network with two output nodes was created for classifying the motor imagery using power of 8-14 Hz band of 500 ms EEG data. This BCI was able to classify motor imagery with 95.65% accuracy. In continuous evaluation, BCI showed a True Positive Rate of 24.89% and False Positive Rate of 12.93%. The percentage of correctly classified motor imagery in each trial was 84.99%, 72.23%, 17.07% for grab, lift and combined respectively. In conclusion, the current BCI was able to classify the motor imagery of grab, lift and grab+lift successfully based on EEG of movement data without any prior training of motor imagery based on last 500ms of data.</t>
  </si>
  <si>
    <t>[Chacko, Siju G.; Tayade, Prashant; Kaur, Simran; Sharma, Ratna] All India Inst Med Sci, Dept Physiol, Stress &amp; Cognit Electroimaging Lab, New Delhi, India</t>
  </si>
  <si>
    <t>All India Institute of Medical Sciences (AIIMS) New Delhi</t>
  </si>
  <si>
    <t>Chacko, SG (corresponding author), All India Inst Med Sci, Dept Physiol, Stress &amp; Cognit Electroimaging Lab, New Delhi, India.</t>
  </si>
  <si>
    <t>siju.g.chacko@gmail.com; dr.prashanttayade@gmail.com; simranaiims@outlook.com; ratnaaiims@gmail.com</t>
  </si>
  <si>
    <t>; Kaur, Simran/JRW-5542-2023</t>
  </si>
  <si>
    <t>Kaur, Simran/0000-0001-9091-9480; Sharma, Ratna/0000-0001-6810-3514</t>
  </si>
  <si>
    <t>10.1109/iww-bci.2019.8737258</t>
  </si>
  <si>
    <t>Computer Science; Neurosciences &amp; Neurology</t>
  </si>
  <si>
    <t>WOS:000492868700050</t>
  </si>
  <si>
    <t>Khan, MJ; Hong, KS; Naseer, N; Bhutta, MR</t>
  </si>
  <si>
    <t>Khan, M. Jawad; Hong, Keum-Shik; Naseer, Noman; Bhutta, M. Raheel</t>
  </si>
  <si>
    <t>Hybrid EEG-NIRS based BCI for quadcopter control</t>
  </si>
  <si>
    <t>2015 54TH ANNUAL CONFERENCE OF THE SOCIETY OF INSTRUMENT AND CONTROL ENGINEERS OF JAPAN (SICE)</t>
  </si>
  <si>
    <t>Brain-computer interface; hybrid EEG-NIRS; motor imagery; classification; linear discriminant analysis; quadcopter</t>
  </si>
  <si>
    <t>NEAR-INFRARED SPECTROSCOPY; BRAIN-COMPUTER INTERFACES; CONTAINER CRANES; CONTROL-SYSTEM; CLASSIFICATION; SIGNALS; MOTOR; WHEELCHAIRS; ALGORITHMS; CORTEX</t>
  </si>
  <si>
    <t>In this paper, we have proposed a novel control strategy for a quadcopter control using brain signals. A brain-computer interface (BCI) technology is developed using hybrid electroencephalography - near-infrared spectroscopy (EEG-NIRS) system and two commands are used to operate the quadcopter. An active brain signal upon the user's own will is generated using a motor imagery task and a reactive brain signal is generated by visual flickering of light. The reactive command is used for the triggering control of the quadcopter and the active command is used to navigate the quadcopter in the forward direction. Linear discriminant analysis is used to classify the brain activity in offline environment. The results indicate that the proposed scheme is suitable for the BCI control applications.</t>
  </si>
  <si>
    <t>[Hong, Keum-Shik; Naseer, Noman; Bhutta, M. Raheel] Pusan Natl Univ, Dept Cognomechatron Engn, Busan, South Korea; [Khan, M. Jawad; Hong, Keum-Shik] Pusan Natl Univ, Sch Mech Engn, Busan, South Korea</t>
  </si>
  <si>
    <t>Pusan National University; Pusan National University</t>
  </si>
  <si>
    <t>Khan, MJ (corresponding author), Pusan Natl Univ, Sch Mech Engn, Busan, South Korea.</t>
  </si>
  <si>
    <t>jawad@pusan.ac.kr; kshong@pusan.ac.kr; noman@pusan.ac.kr; cogno@pusan.ac.kr</t>
  </si>
  <si>
    <t>; Naseer, Noman/H-2755-2019; Khan, Muhammad Jawad/GQQ-1646-2022</t>
  </si>
  <si>
    <t>Naseer, Noman/0000-0002-2680-6403; Hong, Keum-Shik/0000-0002-8528-4457;</t>
  </si>
  <si>
    <t>Automation &amp; Control Systems; Engineering</t>
  </si>
  <si>
    <t>WOS:000380615700136</t>
  </si>
  <si>
    <t>J</t>
  </si>
  <si>
    <t>Huang, JS; Liu, WS; Yao, B; Wang, ZX; Chen, SF; Sun, WF</t>
  </si>
  <si>
    <t>Huang, Jing-Shan; Liu, Wan-Shan; Yao, Bin; Wang, Zhan-Xiang; Chen, Si-Fang; Sun, Wei-Fang</t>
  </si>
  <si>
    <t>Electroencephalogram-Based Motor Imagery Classification Using Deep Residual Convolutional Networks</t>
  </si>
  <si>
    <t>FRONTIERS IN NEUROSCIENCE</t>
  </si>
  <si>
    <t>Article</t>
  </si>
  <si>
    <t>electroencephalogram (EEG); motor imagery (MI); wavelet packet decomposition (WPD); residual; convolutional neural networks</t>
  </si>
  <si>
    <t>BRAIN-COMPUTER-INTERFACE; SYSTEM; SIGNAL</t>
  </si>
  <si>
    <t>The classification of electroencephalogram (EEG) signals is of significant importance in brain-computer interface (BCI) systems. Aiming to achieve intelligent classification of motor imagery EEG types with high accuracy, a classification methodology using the wavelet packet decomposition (WPD) and the proposed deep residual convolutional networks (DRes-CNN) is proposed. Firstly, EEG waveforms are segmented into sub-signals. Then the EEG signal features are obtained through the WPD algorithm, and some selected wavelet coefficients are retained and reconstructed into EEG signals in their respective frequency bands. Subsequently, the reconstructed EEG signals were utilized as input of the proposed deep residual convolutional networks to classify EEG signals. Finally, EEG types of motor imagination are classified by the DRes-CNN classifier intelligently. The datasets from BCI Competition were used to test the performance of the proposed deep learning classifier. Classification experiments show that the average recognition accuracy of this method reaches 98.76%. The proposed method can be further applied to the BCI system of motor imagination control.</t>
  </si>
  <si>
    <t>[Huang, Jing-Shan; Liu, Wan-Shan; Yao, Bin] Xiamen Univ, Sch Aerosp Engn, Xiamen, Peoples R China; [Huang, Jing-Shan; Liu, Wan-Shan; Yao, Bin] Xiamen Univ, Shenzhen Res Inst, Shenzhen, Peoples R China; [Wang, Zhan-Xiang] Xiamen Univ, Sch Med, Inst Neurosurg, Xiamen, Peoples R China; [Wang, Zhan-Xiang] Xiamen Univ, Xiamen Key Lab Brain Ctr, Affiliated Hosp 1, Xiamen, Peoples R China; [Wang, Zhan-Xiang; Chen, Si-Fang] Xiamen Univ, Affiliated Hosp 1, Dept Neurosurg, Xiamen, Peoples R China; [Sun, Wei-Fang] Wenzhou Univ, Coll Mech &amp; Elect Engn, Wenzhou, Peoples R China</t>
  </si>
  <si>
    <t>Xiamen University; Xiamen University; Xiamen University; Xiamen University; Xiamen University; Wenzhou University</t>
  </si>
  <si>
    <t>Yao, B (corresponding author), Xiamen Univ, Sch Aerosp Engn, Xiamen, Peoples R China.;Yao, B (corresponding author), Xiamen Univ, Shenzhen Res Inst, Shenzhen, Peoples R China.;Chen, SF (corresponding author), Xiamen Univ, Affiliated Hosp 1, Dept Neurosurg, Xiamen, Peoples R China.;Sun, WF (corresponding author), Wenzhou Univ, Coll Mech &amp; Elect Engn, Wenzhou, Peoples R China.</t>
  </si>
  <si>
    <t>aeroiiet@126.com; csfsong143@aliyun.com; swf@wzu.edu.cn</t>
  </si>
  <si>
    <t>Wang, Zhanxiang/K-4162-2016; Sun, Weifang/P-8217-2018</t>
  </si>
  <si>
    <t>Huang, Jingshan/0000-0002-7004-9091;</t>
  </si>
  <si>
    <t>NOV 17</t>
  </si>
  <si>
    <t>10.3389/fnins.2021.774857</t>
  </si>
  <si>
    <t>Neurosciences &amp; Neurology</t>
  </si>
  <si>
    <t>WOS:000726134500001</t>
  </si>
  <si>
    <t>Xu, BG; Wei, ZW; Song, AG; Wu, CC; Zhang, DL; Li, WL; Xu, GZ; Li, HJ; Zeng, H</t>
  </si>
  <si>
    <t>Xu, Baoguo; Wei, Zhiwei; Song, Aiguo; Wu, Changcheng; Zhang, Dalin; Li, Wenlong; Xu, Guozheng; Li, Huijun; Zeng, Hong</t>
  </si>
  <si>
    <t>Phase Synchronization Information for Classifying Motor Imagery EEG From the Same Limb</t>
  </si>
  <si>
    <t>IEEE ACCESS</t>
  </si>
  <si>
    <t>Brain computer interface (BCI); motor imagery (MI); phase synchronization information</t>
  </si>
  <si>
    <t>The classification of motor imagery Electroencephalogram (EEG) of the same limb is important for natural control of neuroprosthesis. Due to the close spatial representations on the motor cortex area of the brain, the discrimination of the different motor imagery tasks is challenging. In this paper, phase synchronization information was proposed to classify motor imagery EEG within the same limb. In addition, non-portable was compared with portable EEG acquisition equipment for the purpose of making the brain computer interface (BCI) system more practical. In the non-portable case, the average accuracy of the binary classification and 3-class classification was 60.6% and 42.7%. In the portable case, the average EEG decoding accuracy of 58.5% and 39.9% was achieved for the two and three tasks. Furthermore, in both two cases, different sets of electrode pairs got the similar results. Moreover, we found that the proposed phase information based method was less sensitive to the number of EEG channels and had less performance degradation in portable EEG equipment. These results show it is possible to use phase synchronization information to discriminate different motor imagery tasks within the same limb. Eventually, this will potentially make the control of neuroprosthesis or other rehabilitation device more natural and intuitive.</t>
  </si>
  <si>
    <t>[Xu, Baoguo; Wei, Zhiwei; Song, Aiguo; Zhang, Dalin; Li, Wenlong; Li, Huijun; Zeng, Hong] Southeast Univ, Sch Instrument Sci &amp; Engn, State Key Lab Bioelect, Jiangsu Key Lab Remote Measurement &amp; Control, Nanjing 210096, Peoples R China; [Wu, Changcheng] Nanjing Univ Aeronaut &amp; Astronaut, Coll Automat Engn, Nanjing 211106, Peoples R China; [Xu, Guozheng] Nanjing Univ Posts &amp; Telecommun, Coll Automat, Nanjing 210003, Peoples R China</t>
  </si>
  <si>
    <t>Southeast University - China; Nanjing University of Aeronautics &amp; Astronautics; Nanjing University of Posts &amp; Telecommunications</t>
  </si>
  <si>
    <t>Xu, BG (corresponding author), Southeast Univ, Sch Instrument Sci &amp; Engn, State Key Lab Bioelect, Jiangsu Key Lab Remote Measurement &amp; Control, Nanjing 210096, Peoples R China.</t>
  </si>
  <si>
    <t>xubaoguo@seu.edu.cn</t>
  </si>
  <si>
    <t>Li, Wenlong/ABO-3818-2022; Song, Aiguo/KIB-3075-2024; Zeng, Hong/T-8447-2019</t>
  </si>
  <si>
    <t>Song, Aiguo/0000-0002-1982-6780;</t>
  </si>
  <si>
    <t>10.1109/ACCESS.2019.2948676</t>
  </si>
  <si>
    <t>Computer Science; Engineering; Telecommunications</t>
  </si>
  <si>
    <t>WOS:000510255100002</t>
  </si>
  <si>
    <t>Xie, YY; Li, XO</t>
  </si>
  <si>
    <t>Xie, Yanyan; Li, Xiaoou</t>
  </si>
  <si>
    <t>A Brain Controlled Wheelchair based on Common Spatial Pattern</t>
  </si>
  <si>
    <t>2015 International Symposium on Bioelectronics and Bioinformatics (ISBB)</t>
  </si>
  <si>
    <t>Brain Computer Interface; Common Spatial Pattern; Wheelchair</t>
  </si>
  <si>
    <t>COMPUTER-INTERFACE</t>
  </si>
  <si>
    <t>This paper was proposed for the feature extraction problem in Brain Computer Interface (BCI) which was based on the motor imagery. Common Spatial Pattern (CSP) was used to extract useful features from the Electroencephalograph (EEG) signals. Firstly, a preprocessing step was applied to remove noises. Secondly, CSP was used to analyze with EEG signals. Support Vector Machine (SVM) was investigated to classify motor imagery state. The EEG signals of motor imagery provided by dataset I of 2004 BCI Competition III were used for the validation. The results showed that the algorithm can extract the obvious characteristics efficiently. Finally, the proposed method was used in a wheelchair application. Experimental results showed that the proposed approach was promising for implementing human-computer interaction, especially for EEG-based brain controlled wheelchair.</t>
  </si>
  <si>
    <t>[Xie, Yanyan; Li, Xiaoou] Shanghai Univ Med &amp; Hlth Sci, Sch Med Instrument &amp; Food Engn, Univ Shanghai Sci &amp; Technol, Shanghai, Peoples R China</t>
  </si>
  <si>
    <t>Shanghai University of Medicine &amp; Health Sciences; University of Shanghai for Science &amp; Technology</t>
  </si>
  <si>
    <t>Xie, YY (corresponding author), Shanghai Univ Med &amp; Hlth Sci, Sch Med Instrument &amp; Food Engn, Univ Shanghai Sci &amp; Technol, Shanghai, Peoples R China.</t>
  </si>
  <si>
    <t>xieyanyan0723@126.com</t>
  </si>
  <si>
    <t>WOS:000380585100006</t>
  </si>
  <si>
    <t>Guerra, TD; Nóbrega, T; Morya, E; Martins, AD; de Sousa, VA Jr</t>
  </si>
  <si>
    <t>Guerra, Tarciana de Brito C.; Nobrega, Taline; Morya, Edgard; Martins, Allan de M.; de Sousa Jr, Vicente A.</t>
  </si>
  <si>
    <t>Electroencephalography Signal Analysis for Human Activities Classification: A Solution Based on Machine Learning and Motor Imagery</t>
  </si>
  <si>
    <t>SENSORS</t>
  </si>
  <si>
    <t>EEG; machine learning; random forest; motor imagery; mindwave; V-AMP</t>
  </si>
  <si>
    <t>BRAIN-COMPUTER INTERFACES</t>
  </si>
  <si>
    <t>Electroencephalography (EEG) is a fundamental tool for understanding the brain's electrical activity related to human motor activities. Brain-Computer Interface (BCI) uses such electrical activity to develop assistive technologies, especially those directed at people with physical disabilities. However, extracting signal features and patterns is still complex, sometimes delegated to machine learning (ML) algorithms. Therefore, this work aims to develop a ML based on the Random Forest algorithm to classify EEG signals from subjects performing real and imagery motor activities. The interpretation and correct classification of EEG signals allow the development of tools controlled by cognitive processes. We evaluated our ML Random Forest algorithm using a consumer and a research-grade EEG system. Random Forest efficiently distinguishes imagery and real activities and defines the related body part, even with consumer-grade EEG. However, interpersonal variability of the EEG signals negatively affects the classification process.</t>
  </si>
  <si>
    <t>[Guerra, Tarciana de Brito C.; Nobrega, Taline; Martins, Allan de M.; de Sousa Jr, Vicente A.] Univ Fed Rio Grande do Norte, Grad Program Elect &amp; Comp Engn PPgEEC, BR-59078970 Natal, Brazil; [Morya, Edgard] Santos Dumont Inst, Edmond &amp; Lily Safra Int Inst Neurosci, Grad Program Neuroengn, BR-59280000 Macaiba, Brazil</t>
  </si>
  <si>
    <t>Universidade Federal do Rio Grande do Norte</t>
  </si>
  <si>
    <t>Nóbrega, T; Martins, AD (corresponding author), Univ Fed Rio Grande do Norte, Grad Program Elect &amp; Comp Engn PPgEEC, BR-59078970 Natal, Brazil.</t>
  </si>
  <si>
    <t>allan@dca.ufrn.br</t>
  </si>
  <si>
    <t>; MORYA, EDGARD/R-1251-2019; Sousa, Vicente/HDN-6145-2022; Martins, Allan/ABI-2604-2020</t>
  </si>
  <si>
    <t>Toraby, Mirdavoud/0009-0006-1780-6408; Sousa, Vicente/0000-0003-2859-6136; martins, allan/0000-0002-9486-4509; Morya, Edgard/0000-0003-0954-5317; Cabral de Brito Guerra, Tarciana/0000-0002-3277-9931</t>
  </si>
  <si>
    <t>APR 26</t>
  </si>
  <si>
    <t>10.3390/s23094277</t>
  </si>
  <si>
    <t>Chemistry; Engineering; Instruments &amp; Instrumentation</t>
  </si>
  <si>
    <t>WOS:000988155500001</t>
  </si>
  <si>
    <t>Varsha</t>
  </si>
  <si>
    <t>https://docs.google.com/document/d/1IrfYx6b8-Q8YfsOCV2FTX9R7xI49ijX6iEqQeGRFsxk/edit?usp=sharing</t>
  </si>
  <si>
    <t>Huang, WJ; Wang, L; Yan, ZX; Liu, YJ</t>
  </si>
  <si>
    <t>Huang, Weijian; Wang, Li; Yan, Zhenxiong; Liu, Yanjun</t>
  </si>
  <si>
    <t>Classify Motor Imagery by a Novel CNN with Data Augmentation</t>
  </si>
  <si>
    <t>42ND ANNUAL INTERNATIONAL CONFERENCES OF THE IEEE ENGINEERING IN MEDICINE AND BIOLOGY SOCIETY: ENABLING INNOVATIVE TECHNOLOGIES FOR GLOBAL HEALTHCARE EMBC'20</t>
  </si>
  <si>
    <t>IEEE Engineering in Medicine and Biology Society Conference Proceedings</t>
  </si>
  <si>
    <t>The brain-computer interface (BCI) based on electroencephalography (EEG) converts the subject's intentions into control signals. For the BCI, the study of motor imagery has been widely used. In recent years, a classification method based on a convolutional neural network (CNNs) has been proposed. However, most of the existing methods use a single convolution scale on CNN, and another problem that affects the results is limited training data. To solve these problems, we propose a mixed-scale CNN architecture, and a data augmentation method is used to classify the EEG of motor imagery. After classifying the BCI competition IV dataset 2b, the average classification accuracy is 81.52%. Compared with the existing methods, our method has a better classification result. This method effectively solves the problems existing in the existing CNN-based motor imagery classification methods, and it improves the classification accuracy.</t>
  </si>
  <si>
    <t>[Huang, Weijian; Wang, Li; Yan, Zhenxiong; Liu, Yanjun] Guangzhou Univ, Sch Mech &amp; Elect Engn, Guangzhou 510006, Peoples R China</t>
  </si>
  <si>
    <t>Guangzhou University</t>
  </si>
  <si>
    <t>Huang, WJ (corresponding author), Guangzhou Univ, Sch Mech &amp; Elect Engn, Guangzhou 510006, Peoples R China.</t>
  </si>
  <si>
    <t>hwj_gzhu@163.com</t>
  </si>
  <si>
    <t>Huang, Weijian/AEX-0851-2022; 刘, 严君/GZL-5764-2022</t>
  </si>
  <si>
    <t>10.1109/embc44109.2020.9176361</t>
  </si>
  <si>
    <t>WOS:000621592200047</t>
  </si>
  <si>
    <t>Altindis, F; Yilmaz, B</t>
  </si>
  <si>
    <t>Altindis, Fatih; Yilmaz, Bulent</t>
  </si>
  <si>
    <t>Feature Extraction and Classification in A Two-State Brain-Computer Interface</t>
  </si>
  <si>
    <t>2016 MEDICAL TECHNOLOGIES NATIONAL CONFERENCE (TIPTEKNO)</t>
  </si>
  <si>
    <t>brain-computer interfaces; EEG; motor imagery; classification; relative band power</t>
  </si>
  <si>
    <t>COMMUNICATION</t>
  </si>
  <si>
    <t>Brain Computer Interface (BCI) technology is used to help patients who do not have control over motor neurons such as ALS or paralyzed patients, to communicate with outer world. This work aims to classify motor imageries using real-time EEG dataset, which was published by Graz University, Austria. The dataset consists of two-channel EEG signals of right-hand movement imagery and left-hand movement imagery of 8 subjects. There are a total of 120 motor imagery trials (60 left and 60 right) EEG signals recorded from each subject. EEG signals are filtered and feature vectors were extracted that consist of 24, 32 and 40 relative band power values (RBPV). In this work, feature vectors classified by three different methods, linear discriminant analysis (LDA), K nearest neighbor (KNN) and support vector machines (SVM). Results show that best performance was achieved by 24 RBPV feature vector and LDA classification method.</t>
  </si>
  <si>
    <t>[Altindis, Fatih; Yilmaz, Bulent] Abdullah Gul Univ, Elekt Elekt Muhendisligi Bolumu, Kayseri, Turkey; [Altindis, Fatih] Bilkent Univ, Elekt Elekt Muhendisligi Bolumu, Ankara, Turkey</t>
  </si>
  <si>
    <t>Abdullah Gul University; Ihsan Dogramaci Bilkent University</t>
  </si>
  <si>
    <t>Altindis, F (corresponding author), Abdullah Gul Univ, Elekt Elekt Muhendisligi Bolumu, Kayseri, Turkey.;Altindis, F (corresponding author), Bilkent Univ, Elekt Elekt Muhendisligi Bolumu, Ankara, Turkey.</t>
  </si>
  <si>
    <t>fatihaltindis@alumni.bilkent.edu.tr; bulent.yilmaz@agu.edu.tr</t>
  </si>
  <si>
    <t>Yılmaz, Bülent/ACR-8602-2022</t>
  </si>
  <si>
    <t>Computer Science</t>
  </si>
  <si>
    <t>WOS:000455003600057</t>
  </si>
  <si>
    <t>Wang, ZJ; Cao, L; Zhang, Z; Gong, XL; Sun, YR; Wang, HR</t>
  </si>
  <si>
    <t>Wang, Zijian; Cao, Lei; Zhang, Zuo; Gong, Xiaoliang; Sun, Yaoru; Wang, Haoran</t>
  </si>
  <si>
    <t>Short time Fourier transformation and deep neural networks for motor imagery brain computer interface recognition</t>
  </si>
  <si>
    <t>CONCURRENCY AND COMPUTATION-PRACTICE &amp; EXPERIENCE</t>
  </si>
  <si>
    <t>BCI; CNN; deep learning; LSTM; motor imagery</t>
  </si>
  <si>
    <t>SINGLE-TRIAL EEG; CLASSIFICATION</t>
  </si>
  <si>
    <t>Motor imagery (MI) is an important control paradigm in the field of brain-computer interface (BCI), which enables the recognition of personal intention. So far, numerous methods have been designed to classify EEG signal features for MI task. However, deep neural networks have been seldom applied to analyze EEG signals. In this study, two novel kinds of deep learning schemes based on convolutional neural networks (CNN) and Long Short-Term Memory (LSTM) were proposed for MI-classification. The frequency domain representations of EEG signals were obtained using short time Fourier transform (STFT) to train models. Classification results were compared between conventional algorithm, CNN, and LSTM models. Compared with two other methods, CNN algorithms had shown better performance. These conclusions verified that CNN method was promising for MI-based BCIs.</t>
  </si>
  <si>
    <t>[Wang, Zijian; Zhang, Zuo; Gong, Xiaoliang; Sun, Yaoru] Tongji Univ, Dept Comp Sci &amp; Technol, Shanghai 200092, Peoples R China; [Cao, Lei; Wang, Haoran] Shanghai Maritime Univ, Coll Informat Engn, Dept Comp Sci, Shanghai 201306, Peoples R China</t>
  </si>
  <si>
    <t>Tongji University; Shanghai Maritime University</t>
  </si>
  <si>
    <t>Gong, XL (corresponding author), Tongji Univ, Dept Comp Sci &amp; Technol, Shanghai 200092, Peoples R China.</t>
  </si>
  <si>
    <t>gxllshsh@163.com</t>
  </si>
  <si>
    <t>Wang, Haoran/KIA-0738-2024; Zhang, Zuo/ABB-8762-2020; Cao, Lei/KIA-4940-2024</t>
  </si>
  <si>
    <t>Wang, Haoran/0000-0002-4622-0119; Zhang, Zuo/0000-0002-6752-3434; Wang, Zijian/0000-0002-8147-5109; Sun, Yaoru/0000-0001-6052-2781</t>
  </si>
  <si>
    <t>DEC 10</t>
  </si>
  <si>
    <t>SI</t>
  </si>
  <si>
    <t>e4413</t>
  </si>
  <si>
    <t>10.1002/cpe.4413</t>
  </si>
  <si>
    <t>WOS:000452028300008</t>
  </si>
  <si>
    <t>Motor imagery performance evaluation using hybrid EEG-NIRS for BCI</t>
  </si>
  <si>
    <t>Brain-computer interface; hybrid EEG-NIRS; motor imagery; classification; linear discriminant analysis</t>
  </si>
  <si>
    <t>NEAR-INFRARED SPECTROSCOPY; BRAIN-COMPUTER INTERFACES; CONTAINER CRANES; CONTROL-SYSTEM; CLASSIFICATION; SIGNALS; ALGORITHMS; CORTEX; MODEL</t>
  </si>
  <si>
    <t>In this paper, we have evaluated the performance of motor imagery (MI), before and after training by a rehabilitation robot, for brain-computer interface (BCI). A hybrid electroencephalography and near-infrared spectroscopy (EEG-NIRS) system is used to detect the MI by placing the electrodes and optodes around the motor cortex region. Five healthy subjects have participated in the experiment. The subjects are assisted by a rehabilitation robot in an arm movement paradigm during the training session. The MI activity of the subjects is recorded before and after the training sessions. The brain signals from the motor cortex are recorded simultaneously using EEG-NIRS. We found a significant improvement in the MI performance after training. Linear discriminant analysis is used to classify the acquired activity in an offline analysis. The data analysis shows that the hybrid EEG-NIRS can detect better motor activity than individual modality. The average classification accuracy of the subjects has increased from 66% to 94% after training. We propose that the training of the motor cortex by a rehabilitation robot can improve the MI performance for BCI.</t>
  </si>
  <si>
    <t>Naseer, Noman/H-2755-2019; Khan, Muhammad Jawad/GQQ-1646-2022</t>
  </si>
  <si>
    <t>Naseer, Noman/0000-0002-2680-6403;</t>
  </si>
  <si>
    <t>WOS:000380615700020</t>
  </si>
  <si>
    <t>Kauati-Saito, E; Pereira, AD; Fontana, AP; de Sá, AMFLM; Soares, JGM; Tierra-Criollo, CJ</t>
  </si>
  <si>
    <t>Kauati-Saito, Eric; Pereira, Andre da Silva; Fontana, Ana Paula; Miranda de Sa, Antonio Mauricio Ferreira Leite; Soares, Juliana Guimaraes Martins; Tierra-Criollo, Carlos Julio</t>
  </si>
  <si>
    <t>Classification of Different Motor Imagery Tasks with the Same Limb Using Electroencephalographic Signals</t>
  </si>
  <si>
    <t>electroencephalography; brain-computer interface; feature extraction; classification</t>
  </si>
  <si>
    <t>EEG</t>
  </si>
  <si>
    <t>Stroke is a neurological condition that often results in long-term motor deficits. Given the high prevalence of motor impairments worldwide, there is a critical need to explore innovative neurorehabilitation strategies that aim to enhance the quality of life of patients. One promising approach involves brain-computer interface (BCI) systems controlled by electroencephalographic (EEG) signals elicited when a subject performs motor imagery (MI), which is the mental simulation of movement without actual execution. Such systems have shown potential for facilitating motor recovery by promoting neuroplastic mechanisms. Controlling BCI systems based on MI-EEG signals involves the following sequential stages: recording the raw signal, preprocessing, feature extraction and selection, and classification. Each of these stages can be executed using several techniques and numerous parameter combinations. In this study, we searched for the combination of feature extraction technique, time window, frequency range, and classifier that could provide the best classification accuracy for the BCI Competition 2008 IV 2a benchmark dataset (BCI-C), characterized by EEG-MI data of different limbs (four classes, of which three were used in this work), and the NeuroSCP EEG-MI dataset, a custom experimental protocol developed in our laboratory, consisting of EEG recordings of different movements with the same limb (three classes-right dominant arm). The mean classification accuracy for BCI-C was 76%. When the subjects were evaluated individually, the best-case classification accuracy was 94% and the worst case was 54%. For the NeuroSCP dataset, the average classification result was 53%. The individual subject's evaluation best-case was 71% and the worst case was 35%, which is close to the chance level (33%). These results indicate that techniques commonly applied to classify different limb MI based on EEG features cannot perform well when classifying different MI tasks with the same limb. Therefore, we propose other techniques, such as EEG functional connectivity, as a feature that could be tested in future works to classify different MI tasks of the same limb.</t>
  </si>
  <si>
    <t>[Kauati-Saito, Eric; Miranda de Sa, Antonio Mauricio Ferreira Leite; Tierra-Criollo, Carlos Julio] Fed Univ Rio Janeiro UFRJ, Alberto Luiz Coimbra Inst Grad Studies &amp; Res Engn, Biomed Engn Program, Lab Med Signal &amp; Images Proc, BR-21941901 Rio De Janeiro, Brazil; [Pereira, Andre da Silva; Soares, Juliana Guimaraes Martins] Fed Univ Rio Janeiro UFRJ, Biophys Inst Carlos Chagas Filho, Lab Cognit Physiol, BR-21941902 Rio De Janeiro, Brazil; [Fontana, Ana Paula] Fed Univ Rio Janeiro UFRJ, Neurol Inst Deolindo Couto, Sch Physiotherapy, Rehabil Sci Program, BR-22290140 Rio De Janeiro, Brazil</t>
  </si>
  <si>
    <t>Kauati-Saito, E; Tierra-Criollo, CJ (corresponding author), Fed Univ Rio Janeiro UFRJ, Alberto Luiz Coimbra Inst Grad Studies &amp; Res Engn, Biomed Engn Program, Lab Med Signal &amp; Images Proc, BR-21941901 Rio De Janeiro, Brazil.;Pereira, AD (corresponding author), Fed Univ Rio Janeiro UFRJ, Biophys Inst Carlos Chagas Filho, Lab Cognit Physiol, BR-21941902 Rio De Janeiro, Brazil.</t>
  </si>
  <si>
    <t>erickauati@peb.ufrj.br; carjulio@peb.ufrj.br</t>
  </si>
  <si>
    <t>Miranda de Sá, Antonio Mauricio/N-8722-2014; Tierra-Criollo, Carlos/J-4859-2015</t>
  </si>
  <si>
    <t>AUG 26</t>
  </si>
  <si>
    <t>10.3390/s25175291</t>
  </si>
  <si>
    <t>WOS:001570083600001</t>
  </si>
  <si>
    <t>Tarara, P; Przybyl, I; Schöning, J; Gunia, A</t>
  </si>
  <si>
    <t>Tarara, Paulina; Przybyl, Iwona; Schoning, Julius; Gunia, Artur</t>
  </si>
  <si>
    <t>Motor imagery-based brain-computer interfaces: an exploration of multiclass motor imagery-based control for Emotiv EPOC X</t>
  </si>
  <si>
    <t>FRONTIERS IN NEUROINFORMATICS</t>
  </si>
  <si>
    <t>brain-computer interface (BCI); Emotiv EPOC X; motor imagery; body awareness training; lateral bending</t>
  </si>
  <si>
    <t>BCI; MOVEMENT; PERFORMANCE; MEDITATION; CORTEX</t>
  </si>
  <si>
    <t>Introduction Enhancing the command capacity of motor imagery (MI)-based brain-computer interfaces (BCIs) remains a significant challenge in neuroinformatics, especially for real-world assistive applications. This study explores a multiclass BCI system designed to classify multiple MI tasks using a low-cost EEG device.Methods A BCI system was developed to classify six mental states: resting state, left and right hand movement imagery, tongue movement, and left and right lateral bending, using EEG data collected with the Emotiv EPOC X headset. Seven participants underwent a body awareness training protocol integrating mindfulness and physical exercises to improve MI performance. Machine learning techniques were applied to extract discriminative features from the EEG signals.Results Post-training assessments indicated modest improvements in participants' MI proficiency. However, classification performance was limited due to inter- and intra-subject signal variability and the technical constraints of the consumer-grade EEG hardware.Discussion These findings highlight the value of combining user training with MI-based BCIs and the need to optimize signal quality for reliable performance. The results support the feasibility of scalable, multiclass MI paradigms in low-cost, user-centered neurotechnology applications, while pointing to critical areas for future system enhancement.</t>
  </si>
  <si>
    <t>[Tarara, Paulina] Acad Fine Arts &amp; Design Katowice, Multig Creat Studio, Katowice, Poland; [Przybyl, Iwona] Business Serv Galop, Katowice, Poland; [Schoning, Julius] Osnabruck Univ Appl Sci, Fac Engn &amp; Comp Sci, Osnabruck, Germany; [Gunia, Artur] Jagiellonian Univ, Ctr Cognit Sci, Krakow, Poland</t>
  </si>
  <si>
    <t>Jagiellonian University</t>
  </si>
  <si>
    <t>Gunia, A (corresponding author), Jagiellonian Univ, Ctr Cognit Sci, Krakow, Poland.</t>
  </si>
  <si>
    <t>artur.gunia@uj.edu.pl</t>
  </si>
  <si>
    <t>Gunia, Artur/NHP-2532-2025; Schöning, Julius/ABE-6921-2021</t>
  </si>
  <si>
    <t>AUG 12</t>
  </si>
  <si>
    <t>10.3389/fninf.2025.1625279</t>
  </si>
  <si>
    <t>Mathematical &amp; Computational Biology; Neurosciences &amp; Neurology</t>
  </si>
  <si>
    <t>WOS:001556294400001</t>
  </si>
  <si>
    <t>Li, XL</t>
  </si>
  <si>
    <t>Xiaoling, Li</t>
  </si>
  <si>
    <t>Motor imagery-based EEG signals classification by combining temporal and spatial deep characteristics</t>
  </si>
  <si>
    <t>INTERNATIONAL JOURNAL OF INTELLIGENT COMPUTING AND CYBERNETICS</t>
  </si>
  <si>
    <t>Convolutional neural network; Motor imagery; Brain-computer interface; EEG signal; Temporal and spatial characteristics</t>
  </si>
  <si>
    <t>NETWORK</t>
  </si>
  <si>
    <t>Purpose - In order to improve the weak recognition accuracy and robustness of the classification algorithm for brain-computer interface (BCI), this paper proposed a novel classification algorithm for motor imagery based on temporal and spatial characteristics extracted by using convolutional neural networks (TS-CNN) model. Design/methodology/approach - According to the proposed algorithm, a five-layer neural network model was constructed to classify the electroencephalogram (EEG) signals. Firstly, the author designed a motor imagery-based BCI experiment, and four subjects were recruited to participate in the experiment for the recording of EEG signals. Then, after the EEG signals were preprocessed, the temporal and spatial characteristics of EEG signals were extracted by longitudinal convolutional kernel and transverse convolutional kernels, respectively. Finally, the classification of motor imagery was completed by using two fully connected layers. Findings - To validate the classification performance and efficiency of the proposed algorithm, the comparative experiments with the state-of-the-arts algorithms are applied to validate the proposed algorithm. Experimental results have shown that the proposed TS-CNN model has the best performance and efficiency in the classification of motor imagery, reflecting on the introduced accuracy, precision, recall, ROC curve andF-score indexes. Originality/value - The proposed TS-CNN model accurately recognized the EEG signals for different tasks of motor imagery, and provided theoretical basis and technical support for the application of BCI control system in the field of rehabilitation exoskeleton.</t>
  </si>
  <si>
    <t>[Xiaoling, Li] Nanchang Univ, Gongqing Coll, Gongqingcheng, Peoples R China</t>
  </si>
  <si>
    <t>Nanchang University</t>
  </si>
  <si>
    <t>Li, XL (corresponding author), Nanchang Univ, Gongqing Coll, Gongqingcheng, Peoples R China.</t>
  </si>
  <si>
    <t>lixiaoling2020@sina.com</t>
  </si>
  <si>
    <t>Li, Xiaoling/AAG-3609-2019</t>
  </si>
  <si>
    <t>OCT 12</t>
  </si>
  <si>
    <t>10.1108/IJICC-07-2020-0077</t>
  </si>
  <si>
    <t>SEP 2020</t>
  </si>
  <si>
    <t>WOS:000574645300001</t>
  </si>
  <si>
    <t>Mohanchandra, K; Saha, S; Deshmukh, R</t>
  </si>
  <si>
    <t>Mohanchandra, Kusuma; Saha, Snehanshu; Deshmukh, Rashmi</t>
  </si>
  <si>
    <t>Twofold Classification of Motor Imagery using Common Spatial Pattern</t>
  </si>
  <si>
    <t>2014 INTERNATIONAL CONFERENCE ON CONTEMPORARY COMPUTING AND INFORMATICS (IC3I)</t>
  </si>
  <si>
    <t>Brain-Computer Interface; Common Spatial Pattern; EEG; Motor imagery</t>
  </si>
  <si>
    <t>Motor imagery (MI) is a mental rehearsal of movement without any body movement. Brain-Computer Interface (BCI) uses MI in the neurological rehabilitation, especially in based on MI translates the subjects motor intent into control signals to control the devices like robotic arms, wheelchairs or to navigate the virtual worlds. In this work, multi-channel electroencephalogram (EEG) signals of imagination of a right hand and right foot movement is considered. Common spatial pattern (CSP) is used to estimate the spatial filters for the multi-channel EEG data. The spatial filters lead to weighting of the channel/electrodes according to their variance in discriminating the two tasks performed. Channels with the largest variance are considered as significant channels. A two-fold classification method using support vector machine (SVM) is used to classify the test signal into right hand movement and right foot movement. In the present work, the analysis conducted demonstrate that the proposed twofold classification scheme can achieve upto 94.2% of accuracy in discrimination of the two tasks performed. The high-recognition rate and computational simplicity make CSP a promising method for an EEG-based BCI.</t>
  </si>
  <si>
    <t>[Mohanchandra, Kusuma] DSCE, Med Imaging Res Ctr, Dept CSE, Bangalore, Karnataka, India; [Saha, Snehanshu] CBIMMC, Dept CSE, Bangalore, Karnataka, India; [Deshmukh, Rashmi] DSCE, Dept CSE, Bangalore, Karnataka, India</t>
  </si>
  <si>
    <t>Dayananda Sagar College of Engineering; Dayananda Sagar College of Engineering</t>
  </si>
  <si>
    <t>Mohanchandra, K (corresponding author), DSCE, Med Imaging Res Ctr, Dept CSE, Bangalore, Karnataka, India.</t>
  </si>
  <si>
    <t>kusumalak@gmail.com</t>
  </si>
  <si>
    <t>; Mohanchandra, Kusuma/AAU-3525-2020; Saha, Snehanshu/R-1028-2018</t>
  </si>
  <si>
    <t>Mohanchandra, Kusuma/0000-0001-5865-5729; Saha, Snehanshu/0000-0002-8458-604X</t>
  </si>
  <si>
    <t>WOS:000380454900060</t>
  </si>
  <si>
    <t xml:space="preserve">Varsha </t>
  </si>
  <si>
    <t>Soni, S; Chaudhary, S; Miyapuram, KP</t>
  </si>
  <si>
    <t>ACM</t>
  </si>
  <si>
    <t>Soni, Saher; Chaudhary, Shivam; Miyapuram, Krishna Prasad</t>
  </si>
  <si>
    <t>Enhancing Motor Imagery based Brain Computer Interfaces for Stroke Rehabilitation</t>
  </si>
  <si>
    <t>PROCEEDINGS OF 7TH JOINT INTERNATIONAL CONFERENCE ON DATA SCIENCE AND MANAGEMENT OF DATA, CODS-COMAD 2024</t>
  </si>
  <si>
    <t>motor imagery; electroencephalography; LSTM; brain-computer interface; stroke; deep learning</t>
  </si>
  <si>
    <t>NEURAL-NETWORKS; RECOVERY</t>
  </si>
  <si>
    <t>Globally, the prevalence of disabilities among stroke survivors exceeds 80%, with upper-limb movement impairments affecting over 85% of individuals. To address this challenge, motor imagery (MI) based brain-computer interface (BCI) has emerged as a promising approach for translating the imagined motor intentions of individuals into control signals for external devices. Electroencephalography (EEG) signals are commonly used in MI-BCIs due to their non-invasiveness, portability, high temporal resolution, and affordability. The present study utilized the publicly available Electroencephalography Motor Movement/Imagery Dataset (EEGMMIDB), comprising 64-channel EEG recordings from 109 participants sampled at 160 Hz. The aim was to classify between the opening/closing of palms and feet using the Long Short Term Memory (LSTM) network directly on cleaned EEG signals, bypassing traditional feature-extraction methods that are computationally intensive and time-consuming. We achieved an average classification accuracy of 71.2% across subjects by tuning the hyperparameters related to epochs and segment length. This research emphasizes the efficacy of deep learning approaches in generating robust control signals for predicting motor intentions using EEG signals, eliminating the necessity of laborious feature extraction methods. By leveraging deep learning models, MI-BCI devices can advance neuro-rehabilitation, especially in stroke, by providing motor assistance, enabling patients to execute movements solely through the power of imagination.</t>
  </si>
  <si>
    <t>[Soni, Saher; Chaudhary, Shivam; Miyapuram, Krishna Prasad] Indian Inst Technol, Gandhinagar, Gujarat, India</t>
  </si>
  <si>
    <t>Indian Institute of Technology System (IIT System); Indian Institute of Technology (IIT) - Gandhinagar</t>
  </si>
  <si>
    <t>Soni, S (corresponding author), Indian Inst Technol, Gandhinagar, Gujarat, India.</t>
  </si>
  <si>
    <t>sonisaher@iitgn.ac.in; shivamchaudhary@iitgn.ac.in; kprasad@iitgn.ac.in</t>
  </si>
  <si>
    <t>Miyapuram, Krishna/ABH-7157-2020</t>
  </si>
  <si>
    <t>10.1145/3632410.3632441</t>
  </si>
  <si>
    <t>WOS:001160848200054</t>
  </si>
  <si>
    <t>Wenhao, H; Lei, M; Hashimoto, K; Fukami, T</t>
  </si>
  <si>
    <t>Wenhao, Han; Lei, Ma; Hashimoto, Kosuke; Fukami, Tadanori</t>
  </si>
  <si>
    <t>Classification of finger movement based on EEG phase using deep learning</t>
  </si>
  <si>
    <t>2022 JOINT 12TH INTERNATIONAL CONFERENCE ON SOFT COMPUTING AND INTELLIGENT SYSTEMS AND 23RD INTERNATIONAL SYMPOSIUM ON ADVANCED INTELLIGENT SYSTEMS (SCIS&amp;ISIS)</t>
  </si>
  <si>
    <t>Joint International Conference on Soft Computing and Intelligent Systems SCIS and International Symposium on Advanced Intelligent Systems ISIS</t>
  </si>
  <si>
    <t>brain computer interface (BCI); finger movement; electroencephalogram (EEG); phase; deep learning</t>
  </si>
  <si>
    <t>In recent years, the availability of a huge number of different electroencephalogram (EEG) datasets and the development of deep learning systems have enabled many studies about motor imagery-related EEG classification. However, most of these studies have focused on the movement of relatively large body parts such as the left/right hand, and few have considered the classification of finger movement. Some classification methods have been based on frequency components such as power and amplitude spectra. However, these spectra are less likely to show unique spatial distributions of EEGs on the scalp for different fingers. This is because the regions that control the fingers are close to one another in the motor cortex, leading to similar distributions. We predicted that the arrival timing at electrodes on the scalp of the signal reflecting neural activity would differ depending on the source in the motor cortex. Based on this assumption, we attempted classification using the phase distribution of each EEG frequency component. We used deep learning to classify movement of the thumb and index finger, which are controlled by adjacent regions in the motor area. We collected data during finger movement. Our proposed EEG-phase-based method enabled classification of the movement of two fingers with an accuracy of 70.0%. This is superior to the result of amplitude-based classification, i.e., 62.3%.</t>
  </si>
  <si>
    <t>[Wenhao, Han; Lei, Ma; Hashimoto, Kosuke; Fukami, Tadanori] Yamagata Univ, Grad Sch Sci &amp; Engn, Yonezawa, Yamagata 9928510, Japan</t>
  </si>
  <si>
    <t>Yamagata University</t>
  </si>
  <si>
    <t>Wenhao, H (corresponding author), Yamagata Univ, Grad Sch Sci &amp; Engn, Yonezawa, Yamagata 9928510, Japan.</t>
  </si>
  <si>
    <t>tte97691@st.yamagata-u.ac.jp; t223780d@st.yamagata-u.ac.jp; t222834m@st.yamagata-u.ac.jp; fukami@yz.yamagata-u.ac.jp</t>
  </si>
  <si>
    <t>Lei, Ma/LZE-8414-2025; Fukami, Tadanori/AAG-5472-2019</t>
  </si>
  <si>
    <t>10.1109/SCISISIS55246.2022.10002132</t>
  </si>
  <si>
    <t>Automation &amp; Control Systems; Computer Science; Robotics</t>
  </si>
  <si>
    <t>WOS:000932791900202</t>
  </si>
  <si>
    <t>Talia</t>
  </si>
  <si>
    <t>Gaur, P; Pachori, RB; Wang, H; Prasad, G</t>
  </si>
  <si>
    <t>Gaur, Pramod; Pachori, Ram Bilas; Wang, Hui; Prasad, Girijesh</t>
  </si>
  <si>
    <t>A multi-class EEG-based BCI classification using multivariate empirical mode decomposition based filtering and Riemannian geometry</t>
  </si>
  <si>
    <t>EXPERT SYSTEMS WITH APPLICATIONS</t>
  </si>
  <si>
    <t>A brain-computer interface (BCI) facilitates a medium to translate the human motion intentions using electrical brain activity signals such as electroencephalogram (EEG) into control signals. EEG signals are non-stationary and subject specific. A major challenge in BCI research is to classify human motion intentions from non-stationary EEG signals. We propose a novel subject specific multivariate empirical mode decomposition (MEMD) based filtering method, namely, SS-MEMDBF to classify the motor imagery (MI) based EEG signals into multiple classes. The MEMD method simultaneously decomposes the multichannel EEG signals into a group of multivariate intrinsic mode functions (MIMFs). This decomposition enables us to extract the cross-channel information and also localize the specific frequency information. The MIMFs are considered as narrow-band, amplitude and frequency modulated (AFM) signals. The statistical measure, mean frequency has been used to automatically filter the MIMFs to obtain enhanced EEG signals which better represent motor imagery related brainwave modulations over mu and beta rhythms. The sample covariance matrix has been computed and used as a feature set. The feature set has been classified into multiple MI tasks using Riemannian geometry. The proposed method has helped achieve mean Kappa value of 0.60 across nine subjects of the BCI competition IV dataset 2A which is superior to all the reported methods. (C) 2017 Elsevier Ltd. All rights reserved.</t>
  </si>
  <si>
    <t>[Gaur, Pramod; Prasad, Girijesh] Ulster Univ, Intelligent Syst Res Ctr, Lderry, North Ireland; [Pachori, Ram Bilas] Indian Inst Technol, Discipline Elect Engn, Indore, Madhya Pradesh, India; [Wang, Hui] Ulster Univ, Sch Comp &amp; Math, Jordanstown, North Ireland</t>
  </si>
  <si>
    <t>Ulster University; Indian Institute of Technology System (IIT System); Indian Institute of Technology (IIT) - Indore; Ulster University</t>
  </si>
  <si>
    <t>Gaur, P (corresponding author), Ulster Univ, Intelligent Syst Res Ctr, Lderry, North Ireland.</t>
  </si>
  <si>
    <t>gaur-p@email.ulster.ac.uk; pachori@iiti.ac.in; h.wang@ulster.ac.uk; g.prasad@ulster.ac.uk</t>
  </si>
  <si>
    <t>; Gaur, Pramod/AAE-7609-2022; Wang, Hui/HMU-9512-2023; Pachori, Ram/AAO-5839-2020</t>
  </si>
  <si>
    <t>Wang, Hui/0000-0003-2633-6015; Pachori, Ram Bilas/0000-0002-6061-4309; Prasad, Girijesh/0000-0003-3284-9589;</t>
  </si>
  <si>
    <t>APR 1</t>
  </si>
  <si>
    <t>10.1016/j.eswa.2017.11.007</t>
  </si>
  <si>
    <t>Computer Science; Engineering; Operations Research &amp; Management Science</t>
  </si>
  <si>
    <t>WOS:000423635700016</t>
  </si>
  <si>
    <t>Ma, XL; Qiu, S; He, HG</t>
  </si>
  <si>
    <t>Ma, Xuelin; Qiu, Shuang; He, Huiguang</t>
  </si>
  <si>
    <t>Time-Distributed Attention Network for EEG-Based Motor Imagery Decoding From the Same Limb</t>
  </si>
  <si>
    <t>IEEE TRANSACTIONS ON NEURAL SYSTEMS AND REHABILITATION ENGINEERING</t>
  </si>
  <si>
    <t>Attention mechanism; electroencephalography (EEG); fine motor imagery; same limb</t>
  </si>
  <si>
    <t>BRAIN-COMPUTER INTERFACE; SINGLE-TRIAL EEG; NEURAL-NETWORKS; CLASSIFICATION; REAL; DYNAMICS</t>
  </si>
  <si>
    <t>A brain-computer interface (BCI) based on motor imagery (MI) from the same limb can provide an intuitive control pathway but has received limited attention. It is still a challenge to classify multiple MI tasks from the same limb. The goal of this study is to propose a novel decoding method to classify the MI tasks of four joints of the same upper limb and the resting state. EEG signals were collected from 20 participants. A time-distributed attention network (TD-Atten) was proposed to adaptively assign different weights to different classes and frequency bands of the input multiband Common Spatial Pattern (CSP) features. The long short-term memory (LSTM) and dense layers were then used to learn sequential information from the reweight features and perform the classification. Our proposed method outperformed other baseline and deep learning-based methods and obtained the accuracies of 46.8% in the 5-class scenario and 53.4% in the 4-class scenario. The visualization results of attention weights indicated that the proposed framework can adaptively pay attention to alpha-band related features in MI tasks, which was consistent with the analysis of brain activation patterns. These results demonstrated the feasibility and interpretability of the attention mechanism in MI decoding and the potential of this fine MI paradigm to be applied for the control of a robotic arm or a neural prosthesis.</t>
  </si>
  <si>
    <t>[Ma, Xuelin; Qiu, Shuang; He, Huiguang] Chinese Acad Sci CASIA, Inst Automat, Res Ctr Brain Inspired Intelligence, Beijing 100190, Peoples R China; [Ma, Xuelin] JD Com, Beijing 100176, Peoples R China; [Ma, Xuelin] Univ Chinese Acad Sci UCAS, Sch Artificial Intelligence, Beijing 100049, Peoples R China; [He, Huiguang] Chinese Acad Sci, Ctr Excellence Brain Sci &amp; Intelligence Technol, Beijing 100864, Peoples R China; [He, Huiguang] Univ Chinese Acad Sci UCAS, Beijing 100049, Peoples R China</t>
  </si>
  <si>
    <t>Chinese Academy of Sciences; Institute of Automation, CAS; Chinese Academy of Sciences; Chinese Academy of Sciences; University of Chinese Academy of Sciences, CAS</t>
  </si>
  <si>
    <t>He, HG (corresponding author), Chinese Acad Sci CASIA, Inst Automat, Res Ctr Brain Inspired Intelligence, Beijing 100190, Peoples R China.;He, HG (corresponding author), Chinese Acad Sci, Ctr Excellence Brain Sci &amp; Intelligence Technol, Beijing 100864, Peoples R China.;He, HG (corresponding author), Univ Chinese Acad Sci UCAS, Beijing 100049, Peoples R China.</t>
  </si>
  <si>
    <t>maxuelin2@gmail.com; shuang.qiu@ia.ac.cn; huiguang.he@ia.ac.cn</t>
  </si>
  <si>
    <t>; He, Huiguang/AAD-7643-2020</t>
  </si>
  <si>
    <t>He, Huiguang/0000-0002-0684-1711;</t>
  </si>
  <si>
    <t>10.1109/TNSRE.2022.3154369</t>
  </si>
  <si>
    <t>WOS:000767839400002</t>
  </si>
  <si>
    <t>Prahlad</t>
  </si>
  <si>
    <t>https://docs.google.com/document/d/145GMX24-3OO4BQh3AYQEeLFAmUjuA1nysToeVs6SqMs/edit?usp=sharing</t>
  </si>
  <si>
    <t>Abdalsalam, ME; Yusoff, MZ; Kamel, N; Malik, A; Meselhy, M</t>
  </si>
  <si>
    <t>Abdalsalam, Eltaf M.; Yusoff, M. Zuki; Kamel, Nidal; Malik, Aamir; Meselhy, Mohamed</t>
  </si>
  <si>
    <t>Mental Task Motor Imagery Classifications for Noninvasive Brain Computer Interface</t>
  </si>
  <si>
    <t>2014 5TH INTERNATIONAL CONFERENCE ON INTELLIGENT AND ADVANCED SYSTEMS (ICIAS 2014)</t>
  </si>
  <si>
    <t>International Conference on Advanced Robotics and Intelligent Systems</t>
  </si>
  <si>
    <t>Brain computer interface; EEG; Wavelet transform; MLP; simple logistic; Bagging</t>
  </si>
  <si>
    <t>WHEELCHAIR</t>
  </si>
  <si>
    <t>A Brain computer interface (BCI) has introduced new scope and created a new period for developers and researchers giving alternative communication channels for paralysed peoples. Motor imagery refers to where EEG signals that being obtained while the subject is imagining or performing a motor response. This work is to examine this area from Machine Learning and exploit the Emotiv System as a cost-effective, noninvasive and also a portable EEG measurement device. The experiment was carried out based on Emotiv control panel focusing on cognitive commands such as (forward, backward, left and right). The data were preprocessed to remove the artifact as well as the noise by using EEGlab toolbox. Wavelet transforms namely Daubechies and symlets were used for feature extraction. The Multilayer perception (MLP), Simple logistic and Bagging were utilized to classify the mental tasks motor imagery. The performance of classifications was tested and satisfactory results were obtained with the accuracy rate 80.4% using the Simple logistic classifier.</t>
  </si>
  <si>
    <t>[Abdalsalam, Eltaf M.; Yusoff, M. Zuki; Kamel, Nidal; Malik, Aamir; Meselhy, Mohamed] Univ Teknol PETRONAS, Dept Elect Engn, Ctr Intelligent Signal &amp; Imaging Res, Tronoh, Perak, Malaysia</t>
  </si>
  <si>
    <t>Universiti Teknologi Petronas</t>
  </si>
  <si>
    <t>Abdalsalam, ME (corresponding author), Univ Teknol PETRONAS, Dept Elect Engn, Ctr Intelligent Signal &amp; Imaging Res, Tronoh, Perak, Malaysia.</t>
  </si>
  <si>
    <t>eltaf55@yahoo.com; mzuki_yusoff@petronas.com.my; nidalkamel@petronas.com.my; aamir_saeed@petronas.com.my; mohamed.meselhy@petronas.com.my</t>
  </si>
  <si>
    <t>Malik, Aamir/C-6904-2009; Kamel, Nidal/D-3664-2013; Yusoff, Mohd Zuki/ABE-3628-2021</t>
  </si>
  <si>
    <t>Malik, Aamir/0000-0003-1085-3157; Yusoff, Mohd Zuki/0000-0001-9306-6655;</t>
  </si>
  <si>
    <t>Computer Science; Robotics</t>
  </si>
  <si>
    <t>WOS:000345738000089</t>
  </si>
  <si>
    <t>Wang, ZZ; Du, XW; Wu, Q; Dong, YJ</t>
  </si>
  <si>
    <t>Jiang, X; Hwang, JN</t>
  </si>
  <si>
    <t>Wang, Zhuozheng; Du, Xiuwen; Wu, Qiang; Dong, Yingjie</t>
  </si>
  <si>
    <t>Research on the multi-classifier features of the motor imagery EEG signals in the brain computer interface</t>
  </si>
  <si>
    <t>TENTH INTERNATIONAL CONFERENCE ON DIGITAL IMAGE PROCESSING (ICDIP 2018)</t>
  </si>
  <si>
    <t>Proceedings of SPIE</t>
  </si>
  <si>
    <t>motor imagery; Brain computer interface (BCI); OVR-CSP; Naive Bayes; LDA; QDA; SVM</t>
  </si>
  <si>
    <t>DISCRIMINATION</t>
  </si>
  <si>
    <t>Recent research findings in brain computer-interfacing (BCI) have played an indispensable role for stroke patients including people who suffers from neural injuries. This study expects to better quality of life by motor imagery and replacement of neuro-muscular pathways as BCI systems work on motor imagery to control prosthetic limbs for rehabilitation therapy. In this research, multiple combinations of classifiers have been used to classify electroencephalographic (EEG) signals in order to acquire maximum classification accuracy for a three classes EEG based BCI system. Data set IVa from the BCI Competition III was used to evaluate the performance of the proposed algorithm. One-Verous-Rest common spatial patterns(OVR-CSP) is commonly used to extract discriminative spatial filters which can divide the three types of motion imaging tasks into three new two-category classification tasks. We considered using OVR-CSP to extract features together and submitted them to Naive Bayes, LDA, QDA and SVM algorithms which can obviously classify left hand, right hand, and right foot movement. OVR-CSP combined with LDA classifier performed best with an accuracy of 84.62%. Experiments show that these novel findings clearly exhibit the feasibility of achieving good classification accuracies using the covariance matrix of EEG signals as feature vectors and LDA as classifier. Our approach presented in this paper is relatively simple, easy to execute and is validated robustly with a large dataset.</t>
  </si>
  <si>
    <t>[Wang, Zhuozheng; Du, Xiuwen; Wu, Qiang; Dong, Yingjie] Beijing Univ Technol Beijing, Beijing 100124, Peoples R China</t>
  </si>
  <si>
    <t>Wang, ZZ (corresponding author), Beijing Univ Technol Beijing, Beijing 100124, Peoples R China.</t>
  </si>
  <si>
    <t>wangzhuozheng@bjut.edu.cn; xiuwen@emails.bjut.edu.cn</t>
  </si>
  <si>
    <t>Wang, Zhuozheng/0000-0001-6039-0387</t>
  </si>
  <si>
    <t>UNSP 108066Z</t>
  </si>
  <si>
    <t>10.1117/12.2503307</t>
  </si>
  <si>
    <t>Optics; Imaging Science &amp; Photographic Technology</t>
  </si>
  <si>
    <t>WOS:000452819600248</t>
  </si>
  <si>
    <t>Sun, HL; Yan, XR; Yang, JJ; Li, Q</t>
  </si>
  <si>
    <t>Sun, Hanlin; Yan, Xurong; Yang, Jingjing; Li, Qi</t>
  </si>
  <si>
    <t>Development of a brain-controlled robotic arm system for motor imagery based on MR visual guidance</t>
  </si>
  <si>
    <t>PROCEEDINGS OF 2024 4TH INTERNATIONAL CONFERENCE ON BIOINFORMATICS AND INTELLIGENT COMPUTING, BIC 2024</t>
  </si>
  <si>
    <t>BCI; MI; MR; visual guide</t>
  </si>
  <si>
    <t>Brain-computer interface (BCI) aims to communicate with external devices through EEG signals to realize the control of external devices. In order to improve the training efficiency of visually guided motor imagery (MI) and the classification accuracy of electroencephalography (EEG) signals, this paper investigates MR-based visually guided motor imagery training for a lightweight robotic arm control system. The system integrates two kinds of biological signals, EEG and EEG, in stages, and uses dual EEG as the task switch, motor imagery EEG signal to control the movement of the robotic arm, and single EEG to control the stage switching, which realizes the dichotomous motor imagery to generate multiple control commands, and completes the continuous control of the robotic arm. In which the motor imagery EEG signals were extracted using the method of combining common spatial patterns (commonspatialpattern,CSP) and classified using supportvectormachines (SVM). The results show that there is a significant improvement in the classification accuracy of EEG signals after training with motor imagery. In order to verify the feasibility of the system, a brain-controlled robotic arm grasping experiment was designed, and the subjects were tested through online experiments to realize the robotic arm control through the use of EEG signals, which is conducive to the further promotion of the practical application of brain-computer interface technology.Keywords: electroencephalography; motor imagery; mixed reality environments; visual guidance.</t>
  </si>
  <si>
    <t>[Sun, Hanlin; Yan, Xurong; Yang, Jingjing; Li, Qi] Changchun Univ Sci &amp; Technol, Sch Comp Sci &amp; Technol, 7089 Weixing Rd, Changchun, Jilin, Peoples R China; [Li, Qi] Changchun Univ Sci &amp; Technol, Zhongshan Res Inst, Zhongshan, Guangdong, Peoples R China</t>
  </si>
  <si>
    <t>Changchun University of Science &amp; Technology; Changchun University of Science &amp; Technology</t>
  </si>
  <si>
    <t>Sun, HL (corresponding author), Changchun Univ Sci &amp; Technol, Sch Comp Sci &amp; Technol, 7089 Weixing Rd, Changchun, Jilin, Peoples R China.</t>
  </si>
  <si>
    <t>1971445372@qq.com; 1978984605@qq.com; yangjingjing@cust.edu.cn; liqi@cust.edu.cn</t>
  </si>
  <si>
    <t>10.1145/3665689.3665716</t>
  </si>
  <si>
    <t>WOS:001264463900026</t>
  </si>
  <si>
    <t>Ghaheri, H; Ahmadyfard, AR</t>
  </si>
  <si>
    <t>Ghaheri, H.; Ahmadyfard, A. R.</t>
  </si>
  <si>
    <t>Extracting common spatial patterns from EEG time segments for classifying motor imagery classes in a Brain Computer Interface (BCI)</t>
  </si>
  <si>
    <t>SCIENTIA IRANICA</t>
  </si>
  <si>
    <t>Electroencephalogram (EEG); Brain Computer Interface (BCI); Motor imagery; Common Spatial Pattern (CSP); Temporal segmentation; One-Versus-the Rest (OVR) method</t>
  </si>
  <si>
    <t>CLASSIFICATION; FILTERS; RATES</t>
  </si>
  <si>
    <t>Brain Computer Interface (BCI) is a system which straightly converts the acquired brain signals such as Electroencephalogram (EEG) to commands for controlling external devices. One of the most successful methods in BCI applications based on Motor Imagery is Common Spatial Pattern (CSP). In the existing CSP methods, common spatial filters are applied on whole EEG signal as one time segment for feature extraction. The fact that ERD/ERS events are not steady over time motivated us to break down EEG signal into a number of sub-segments in this study. I combine this sentence with next one: We believe the importance of EEG channels varies for different time segments in classification, therefore we extract features from each time segment using the analysis of CSP method. In order to classify Motor Imagery EEG signals, we apply a LDA classifier based on OVR (One-Versus-the Rest) scheme on the extracted CSP features. The considered Motor Imagery consists of four classes: left hand, right hand, foot and tongue. We used dataset 2a of BCI competition IV to evaluate our method. The result of experiment shows that this method outperforms both CSP and the best competitor of the BCI competition IV. (C) 2013 Sharif University of Technology. All rights reserved.</t>
  </si>
  <si>
    <t>[Ghaheri, H.; Ahmadyfard, A. R.] Shahrood Univ Technol, Dept Elect Engn &amp; Robot, Shahrood, Iran</t>
  </si>
  <si>
    <t>Shahrood University of Technology</t>
  </si>
  <si>
    <t>Ghaheri, H (corresponding author), Shahrood Univ Technol, Dept Elect Engn &amp; Robot, Shahrood, Iran.</t>
  </si>
  <si>
    <t>habibeh.ghaheri@gmail.com; ahmadyfard@shahroodut.ac.ir</t>
  </si>
  <si>
    <t>Ghaheri, Habibeh/GSN-6274-2022</t>
  </si>
  <si>
    <t>Ahmadyfard, Alireza/0000-0002-5084-8910</t>
  </si>
  <si>
    <t>DEC</t>
  </si>
  <si>
    <t>WOS:000330813500009</t>
  </si>
  <si>
    <t>Tang, ZC; Li, C; Wu, JF; Liu, PC; Cheng, SW</t>
  </si>
  <si>
    <t>Tang, Zhi-chuan; Li, Chao; Wu, Jian-feng; Liu, Peng-cheng; Cheng, Shi-wei</t>
  </si>
  <si>
    <t>Classification of EEG-based single-trial motor imagery tasks using a B-CSP method for BCI</t>
  </si>
  <si>
    <t>FRONTIERS OF INFORMATION TECHNOLOGY &amp; ELECTRONIC ENGINEERING</t>
  </si>
  <si>
    <t>Electroencephalogram (EEG); Motor imagery (MI); Improved common spatial pattern (B-CSP); Feature extraction; Classification; TP391; 4</t>
  </si>
  <si>
    <t>BRAIN-COMPUTER-INTERFACE; ERD/ERS PATTERNS; SYNCHRONIZATION; INDIVIDUALS; PERFORMANCE; MOVEMENTS</t>
  </si>
  <si>
    <t>Classifying single-trial electroencephalogram (EEG) based motor imagery (MI) tasks is extensively used to control brain-computer interface (BCI) applications, as a communication bridge between humans and computers. However, the low signal-to-noise ratio and individual differences of EEG can affect the classification results negatively. In this paper, we propose an improved common spatial pattern (B-CSP) method to extract features for alleviating these adverse effects. First, for different subjects, the method of Bhattacharyya distance is used to select the optimal frequency band of each electrode including strong event-related desynchronization (ERD) and event-related synchronization (ERS) patterns; then the signals of the optimal frequency band are decomposed into spatial patterns, and the features that can describe the maximum differences of two classes of MI are extracted from the EEG data. The proposed method is applied to the public data set and experimental data set to extract features which are input into a back propagation neural network (BPNN) classifier to classify single-trial MI EEG. Another two conventional feature extraction methods, original common spatial pattern (CSP) and autoregressive (AR), are used for comparison. An improved classification performance for both data sets (public data set: 91.25%+/- 1.77% for left hand vs. foot and 84.50%+/- 5.42% for left hand vs. right hand; experimental data set: 90.43%+/- 4.26% for left hand vs. foot) verifies the advantages of the B-CSP method over conventional methods. The results demonstrate that our proposed B-CSP method can classify EEG-based MI tasks effectively, and this study provides practical and theoretical approaches to BCI applications.</t>
  </si>
  <si>
    <t>[Tang, Zhi-chuan; Wu, Jian-feng] Zhejiang Univ Technol, Ind Design Inst, Hangzhou 310014, Zhejiang, Peoples R China; [Tang, Zhi-chuan; Li, Chao] Zhejiang Univ, Coll Comp Sci &amp; Technol, Hangzhou 310027, Zhejiang, Peoples R China; [Liu, Peng-cheng] Univ Lincoln, Lincoln Ctr Autonomous Syst, Lincoln LN57DH, England; [Cheng, Shi-wei] Zhejiang Univ Technol, Coll Comp Sci &amp; Technol, Hangzhou 310014, Zhejiang, Peoples R China</t>
  </si>
  <si>
    <t>Zhejiang University of Technology; Zhejiang University; University of Lincoln; Zhejiang University of Technology</t>
  </si>
  <si>
    <t>Wu, JF (corresponding author), Zhejiang Univ Technol, Ind Design Inst, Hangzhou 310014, Zhejiang, Peoples R China.</t>
  </si>
  <si>
    <t>ttzzcc@zjut.edu.cn; superli@zju.edu.cn; jianfw@zjut.edu.cn; pliu@cardiffmet.ac.uk</t>
  </si>
  <si>
    <t>; Cheng, Shiwei/JNR-8400-2023; Liu, Pengcheng/J-1425-2019</t>
  </si>
  <si>
    <t>Cheng, Shiwei/0000-0003-4716-4179; Tang, Zhichuan/0000-0002-1730-1120</t>
  </si>
  <si>
    <t>AUG</t>
  </si>
  <si>
    <t>10.1631/FITEE.1800083</t>
  </si>
  <si>
    <t>WOS:000483650200007</t>
  </si>
  <si>
    <t>Cho, JH; Jeong, JH; Kim, DJ; Lee, SW</t>
  </si>
  <si>
    <t>Cho, Jeong-Hyun; Jeong, Ji-Hoon; Kim, Dong-Joo; Lee, Seong-Whan</t>
  </si>
  <si>
    <t>A Novel Approach to Classify Natural Grasp Actions by Estimating Muscle Activity Patterns from EEG Signals</t>
  </si>
  <si>
    <t>2020 8TH INTERNATIONAL WINTER CONFERENCE ON BRAIN-COMPUTER INTERFACE (BCI)</t>
  </si>
  <si>
    <t>International Winter Conference on Brain-Computer Interface BCI</t>
  </si>
  <si>
    <t>brain-computer interface; electroencephalogram; electromyogram; robotic arm; motor imagery; hand grasping motion</t>
  </si>
  <si>
    <t>SINGLE-TRIAL EEG; CLASSIFICATION; MOVEMENTS</t>
  </si>
  <si>
    <t>Developing electroencephalogram (EEG) based brain-computer interface (BCI) systems is challenging. In this study, we analyzed natural grasp actions from EEG. Ten healthy subjects participated in this experiment. They executed and imagined three sustained grasp actions. We proposed a novel approach which estimates muscle activity patterns from EEG signals to improve the overall classification accuracy. For implementing, we have recorded EEG and electromyogram (EMG) simultaneously. Using the similarity of the estimated pattern from EEG signals compare to the activity pattern from EMG signals showed higher classification accuracy than competitive methods. As a result, we obtained the average classification accuracy of 63.89 +/- 7.54% for actual movement and 46.96 +/- 15.30% for motor imagery. These are 21.59% and 5.66% higher than the result of the competitive model, respectively. This result is encouraging, and the proposed method could potentially be used in future applications, such as a BCI-driven robot control for handling various daily use objects.</t>
  </si>
  <si>
    <t>[Cho, Jeong-Hyun; Jeong, Ji-Hoon; Kim, Dong-Joo; Lee, Seong-Whan] Korea Univ, Dept Brain &amp; Cognit Engn, Seoul, South Korea; [Lee, Seong-Whan] Korea Univ, Dept Artificial Intelligence, Seoul, South Korea</t>
  </si>
  <si>
    <t>Korea University; Korea University</t>
  </si>
  <si>
    <t>Cho, JH (corresponding author), Korea Univ, Dept Brain &amp; Cognit Engn, Seoul, South Korea.</t>
  </si>
  <si>
    <t>jh_cho@korea.ac.kr; jh_jeong@korea.ac.kr; dongjookim@korea.ac.kr; sw.lee@korea.ac.kr</t>
  </si>
  <si>
    <t>Jeong, Ji-Hoon/AAL-5143-2020</t>
  </si>
  <si>
    <t>10.1109/bci48061.2020.9061627</t>
  </si>
  <si>
    <t>WOS:000612527100008</t>
  </si>
  <si>
    <t>Ari, E; Taçgin, E</t>
  </si>
  <si>
    <t>Ari, Emre; Tacgin, Ertugrul</t>
  </si>
  <si>
    <t>NF-EEG: A generalized CNN model for multi class EEG motor imagery classification without signal preprocessing for brain computer interfaces</t>
  </si>
  <si>
    <t>BIOMEDICAL SIGNAL PROCESSING AND CONTROL</t>
  </si>
  <si>
    <t>Brain computer interface (BCI); Deep learning; EEG motor imagery; Classification; Input reshaping; Data augmentation</t>
  </si>
  <si>
    <t>CONVOLUTIONAL NEURAL-NETWORK; COMMON SPATIAL-PATTERNS; SELECTION</t>
  </si>
  <si>
    <t>Objective: Brain Computer Interface (BCI) systems have been developed to identify and classify brain signals and integrate them into a control system. Even though many different methods and models have been developed for the brain signals classification, the majority of these studies have emerged as specialized models. In addition, preprocessing and signal preprocessing methods which are largely based on human knowledge and experience have been used extensively for classification models. These methods degrade the performance of real -time BCI systems and require great time and effort to design and implement the right method. Approach: In order to eliminate these disadvantages, we developed a generalized and robust CNN model called as No-Filter EEG (NFEEG) to classify multi class motor imagery brain signals with raw data and without applying any signal preprocessing methods. In an attempt to increase the speed and success of this developed model, input reshaping has been made and various data augmentation methods have been applied to the data. Main results: Compared to many other state-of-the-art models, NF-EEG outperformed leading state-of-the-art models in two most used motor imagery datasets and achieved 93.56% in the two-class BCI-IV-2A dataset and 88.40% in the two-class BCI-IV-2B dataset and 81.05% accuracy in the classification of four-class BCI-IV-2A dataset. Significance: This proposed method has emerged as a generalized model without signal preprocessing and it greatly reduces the time and effort required for preparation for classification, prevents human-induced errors on the data, presents very effective input reshaping, and also increases the classification accuracy.</t>
  </si>
  <si>
    <t>[Ari, Emre] Dicle Univ, Fac Engn, Dept Mech Engn, Diyarbakir, Turkiye; [Tacgin, Ertugrul] Dogus Univ, Fac Engn, Dept Mech Engn, Istanbul, Turkiye</t>
  </si>
  <si>
    <t>Dicle University; Dogus University</t>
  </si>
  <si>
    <t>Ari, E (corresponding author), Dicle Univ, Fac Engn, Dept Mech Engn, Diyarbakir, Turkiye.</t>
  </si>
  <si>
    <t>emreari@dicle.edu.tr</t>
  </si>
  <si>
    <t>Arı, Emre/AAB-1722-2021; Tacgin, Ertugrul/NRY-2772-2025</t>
  </si>
  <si>
    <t>JUN</t>
  </si>
  <si>
    <t>10.1016/j.bspc.2024.106081</t>
  </si>
  <si>
    <t>FEB 2024</t>
  </si>
  <si>
    <t>WOS:001180928400001</t>
  </si>
  <si>
    <t>Gao, L; Cheng, W; Zhang, JH; Wang, J</t>
  </si>
  <si>
    <t>Gao, Lin; Cheng, Wei; Zhang, Jinhua; Wang, Jue</t>
  </si>
  <si>
    <t>EEG classification for motor imagery and resting state in BCI applications using multi-class Adaboost extreme learning machine</t>
  </si>
  <si>
    <t>REVIEW OF SCIENTIFIC INSTRUMENTS</t>
  </si>
  <si>
    <t>HAND ORTHOSIS; BRAIN; STIMULATION; PERFORMANCE; SYNCHRONIZATION; DISCRIMINATION; COMPLEXITY; PATTERNS; GRASP</t>
  </si>
  <si>
    <t>Brain-computer interface (BCI) systems provide an alternative communication and control approach for people with limited motor function. Therefore, the feature extraction and classification approach should differentiate the relative unusual state of motion intention from a common resting state. In this paper, we sought a novel approach for multi-class classification in BCI applications. We collected electroencephalographic (EEG) signals registered by electrodes placed over the scalp during left hand motor imagery, right hand motor imagery, and resting state for ten healthy human subjects. We proposed using the Kolmogorov complexity (K-c) for feature extraction and a multi-class Adaboost classifier with extreme learning machine as base classifier for classification, in order to classify the three-class EEG samples. An average classification accuracy of 79.5% was obtained for ten subjects, which greatly outperformed commonly used approaches. Thus, it is concluded that the proposed method could improve the performance for classification of motor imagery tasks for multi-class samples. It could be applied in further studies to generate the control commands to initiate the movement of a robotic exoskeleton or orthosis, which finally facilitates the rehabilitation of disabled people. Published by AIP Publishing.</t>
  </si>
  <si>
    <t>[Gao, Lin; Wang, Jue] Xi An Jiao Tong Univ, Inst Biomed Engn, Key Lab Biomed Informat Engn, Educ Minist, Xian 710049, Shaanxi, Peoples R China; [Cheng, Wei; Zhang, Jinhua] Xi An Jiao Tong Univ, State Key Lab Mfg Syst Engn, Xian 710049, Shaanxi, Peoples R China</t>
  </si>
  <si>
    <t>Xi'an Jiaotong University; Xi'an Jiaotong University</t>
  </si>
  <si>
    <t>Wang, J (corresponding author), Xi An Jiao Tong Univ, Inst Biomed Engn, Key Lab Biomed Informat Engn, Educ Minist, Xian 710049, Shaanxi, Peoples R China.</t>
  </si>
  <si>
    <t>juewangxjtu@163.com</t>
  </si>
  <si>
    <t>Wang, Jue/GVU-0480-2022; Cheng, Wei/ABB-2346-2020; Gao, Lin/JNF-0375-2023</t>
  </si>
  <si>
    <t>Cheng, Wei/0000-0002-2032-7815;</t>
  </si>
  <si>
    <t>10.1063/1.4959983</t>
  </si>
  <si>
    <t>Instruments &amp; Instrumentation; Physics</t>
  </si>
  <si>
    <t>WOS:000383880100070</t>
  </si>
  <si>
    <t>Kim, HS; Chang, MH; Lee, HJ; Park, KS</t>
  </si>
  <si>
    <t>Kim, Hyun Seok; Chang, Min Hye; Lee, Hong Ji; Park, Kwang Suk</t>
  </si>
  <si>
    <t>A Comparison of Classification Performance among the Various Combinations of Motor Imagery Tasks for Brain-Computer Interface</t>
  </si>
  <si>
    <t>2013 6TH INTERNATIONAL IEEE/EMBS CONFERENCE ON NEURAL ENGINEERING (NER)</t>
  </si>
  <si>
    <t>International IEEE EMBS Conference on Neural Engineering</t>
  </si>
  <si>
    <t>SINGLE-TRIAL EEG; DYNAMICS; FILTERS</t>
  </si>
  <si>
    <t>Motor imagery brain-computer interface (BCI) is a system that sends commands from human to external devices using brain activity patterns of imagination of a motor action without an actual movement. In this paper, we compared classification performance among the various combinations of motor imagery tasks, toward the multi-dimensional control of motor imagery BCI. We used EEG motor imagery dataset of 99 subjects. Common spatial patterns (CSP) and linear discriminant analysis (LDA) were applied to extract features and to classify motor imagery tasks. 10x10 fold cross validation was used to evaluate classification accuracies through large dataset. For two-class discrimination, we compared the classification accuracy of the results between combinations: both feet and one hand, and both hand and one hand. From these results, using both feet motor imagery task showed 3% higher accuracy than using both hand motor imagery task (p&lt;0.01). For four-class discrimination, the compared result of classification between left/right/both hand/rest and left/right/both feet/rest showed that there was no significant difference between above combinations.</t>
  </si>
  <si>
    <t>[Kim, Hyun Seok; Chang, Min Hye; Lee, Hong Ji] Seoul Natl Univ, Interdisciplinary Program Bioengn, Seoul, South Korea; [Park, Kwang Suk] Seoul Natl Univ, Coll Med, Dept Biomed Engn, Seoul, South Korea</t>
  </si>
  <si>
    <t>Seoul National University (SNU); Seoul National University (SNU)</t>
  </si>
  <si>
    <t>Kim, HS (corresponding author), Seoul Natl Univ, Interdisciplinary Program Bioengn, Seoul, South Korea.</t>
  </si>
  <si>
    <t>khs0330kr@bmsil.snu.ac.kr; binch007@bmsil.snu.ac.kr; hongjidan@bmsil.snu.ac.kr; pks@bmsil.snu.ac.kr</t>
  </si>
  <si>
    <t>Park, Kwang/D-7009-2013</t>
  </si>
  <si>
    <t>Kim, Hyun-Seok/0000-0003-3767-0350</t>
  </si>
  <si>
    <t>Engineering; Neurosciences &amp; Neurology</t>
  </si>
  <si>
    <t>WOS:000331259200110</t>
  </si>
  <si>
    <t>Sofya</t>
  </si>
  <si>
    <t>https://docs.google.com/document/d/14Dtc3roICt81j-L3sCXRYUIh4clEpHpaFRMXurzhDtc/edit?usp=sharing</t>
  </si>
  <si>
    <t>Broniera, P; Campos, DP; Lazzaretti, AE; Nohama, P; Carvalho, AA; Krueger, E; Teixeira, MCM</t>
  </si>
  <si>
    <t>Broniera Junior, Paulo; Campos, Daniel Prado; Lazzaretti, Andre Eugenio; Nohama, Percy; Carvalho, Aparecido Augusto; Krueger, Eddy; Minhoto Teixeira, Marcelo Carvalho</t>
  </si>
  <si>
    <t>EEG-FES-Force-MMG closed-loop control systems of a volunteer with paraplegia considering motor imagery with fatigue recognition and automatic shut-off</t>
  </si>
  <si>
    <t>Brain-computer interface; Closed-loop systems; Electroencephalography; Functional electrical stimulation; Mechanomyography; Motor Imagery; Spinal cord injury</t>
  </si>
  <si>
    <t>BRAIN; INTERFACE; TORQUE</t>
  </si>
  <si>
    <t>People with spinal cord injury (SCI) may have their paralyzed muscles activated through functional electrical stimulation (FES). This neuromodulation technique has been used frequently to assist in controlling the movement of neuroprostheses. Electroencephalography (EEG) is able to trigger FES from the motor imagery captured through movements intentions. This research presents an isometric neuromuscular control system of the quadriceps muscle activated by EEG. Additionally, the detection of neuromuscular fatigue through the mechanomyography (MMG) technique is proposed, which is used to shut-off the system. A pilot study was performed on a chronic 42-year-old paraplegic (no voluntary contraction below the spinal cord injury level T8) volunteer. To do so, the training procedure for EEG signals was divided into the calibration and feedback phases. In the first one, four EEG channels and the Linear Discriminant Analysis (LDA) classifier were used to classify between motor imagery of the right leg and remain at rest. The maximum accuracy obtained during this stage was 77%. In the feedback phase, the volunteer was able to activate FES through brain-computer interface (BCI) in two tests (defined as Test 1 and Test 2) with the same procedure in different days. The closed-loop force control was tested with the setpoint of 2 kgf and 2.5 kgf and proved to be stable on both tests, successfully turning off the FES using the fatigue threshold from the MMG signal, being the main contribution of this work.</t>
  </si>
  <si>
    <t>[Broniera Junior, Paulo; Carvalho, Aparecido Augusto; Minhoto Teixeira, Marcelo Carvalho] Univ Estadual Paulista Julio Mesquita Filho UNESP, Fac Engn, Campus Ilha Solteira,Av Brasil 56, BR-15385000 Ilha Solteira, SP, Brazil; [Campos, Daniel Prado] Univ Tecnolag Fed Parana UTFPR, Marcilio Dias 635, BR-86812460 Apucarana, PR, Brazil; [Lazzaretti, Andre Eugenio; Nohama, Percy] Univ Tecnolag Fed Parana UTFPR, Ave Sete Setembro 3165, BR-80050315 Curitiba, PR, Brazil; [Campos, Daniel Prado; Krueger, Eddy] Univ Estadual Londrina UEL, Dept Anat, Lab Engn Neural &amp; Reabilitacao, Rodovia Celso Garcia Cid Pr 445,Km 380, BR-86057970 Londrina, PR, Brazil; [Broniera Junior, Paulo] Inst Senai Tecnol Informacao &amp; Comunicacao ISTIC, Lab Sistemas Eletron Embarcados &amp; Potencia, IoT &amp; Manufatura 4-0,Rua Belem 844, BR-86026040 Londrina, Parana, Brazil</t>
  </si>
  <si>
    <t>Universidade Estadual Paulista; Universidade Estadual de Londrina</t>
  </si>
  <si>
    <t>Broniera, P (corresponding author), Univ Estadual Paulista Julio Mesquita Filho UNESP, Fac Engn, Campus Ilha Solteira,Av Brasil 56, BR-15385000 Ilha Solteira, SP, Brazil.;Broniera, P (corresponding author), Inst Senai Tecnol Informacao &amp; Comunicacao ISTIC, Lab Sistemas Eletron Embarcados &amp; Potencia, IoT &amp; Manufatura 4-0,Rua Belem 844, BR-86026040 Londrina, Parana, Brazil.</t>
  </si>
  <si>
    <t>paulo.broniera@sistemafiep.org.br; danielcampos@utfpr.edu.br; lazzaretti@utfpr.edu.br; percy.nohama@pucpr.br; aa.carvalho@unesp.br; ekrueger@uel.br; marcelo.minhoto@unesp.br</t>
  </si>
  <si>
    <t>; Lazzaretti, Andre/T-7227-2019; Krueger, Eddy/H-8213-2013; Teixeira, Marcelo/C-4125-2013; Campos, Daniel/P-4624-2016; Nohama, Percy/J-3925-2013</t>
  </si>
  <si>
    <t>Campos, Daniel Prado/0000-0001-6233-6077; Krueger, Eddy/0000-0003-3890-1595; Teixeira, Marcelo/0000-0002-2996-2831; Nohama, Percy/0000-0002-8051-8453; Lazzaretti, Andre Eugenio/0000-0003-1861-3369; Broniera Junior, Paulo/0000-0001-9857-6208</t>
  </si>
  <si>
    <t>JUL</t>
  </si>
  <si>
    <t>10.1016/j.bspc.2021.102662</t>
  </si>
  <si>
    <t>APR 2021</t>
  </si>
  <si>
    <t>WOS:000670367700007</t>
  </si>
  <si>
    <t>Shi, TY; Gu, X; Bi, H; Lv, JD; Liu, Y; Dai, YK; Zou, L</t>
  </si>
  <si>
    <t>Shi, Tianyu; Gu, Xiang; Bi, Hui; Lv, Jidong; Liu, Yan; Dai, Yakang; Zou, Ling</t>
  </si>
  <si>
    <t>A Study of Unilateral Upper Limb Fine Motor Imagery Decoding Using Frequency-Band Attention Network</t>
  </si>
  <si>
    <t>Motors; Electroencephalography; Convolutional neural networks; Feature extraction; Decoding; Task analysis; Stroke (medical condition); Brain-computer interfaces; Patient rehabilitation; Motor drives; Deep learning; Brain-computer interface; upper limb rehabilitation; EEG; fine motor imagery; deep learning</t>
  </si>
  <si>
    <t>EEG; CLASSIFICATION</t>
  </si>
  <si>
    <t>Brain-computer interface (BCI) based motor imagery (MI) can assist stroke patients in upper limb rehabilitation and help restore motor function to a certain extent. However, the classical MI paradigm distinguishes different limbs and cannot effectively meet the needs of upper limb rehabilitation training for patients. Therefore, this paper designed a new paradigm for three motor imagery actions targeting different joints of the unilateral upper limb, and electroencephalogram (EEG) data from 20 healthy participants were collected for research analysis. A deep neural network model combining an attention mechanism for multiple frequency bands and a deep convolutional network were proposed to adaptively assign weight to the EEG data in different frequency bands. Then feature extraction was performed for each frequency band to learn further and to classify features. This model can obtain an average accuracy of 69.2% for the subject-independent case with the triple classification in the designed fine motor imagery (FMI) dataset, which is better than other controlled methods. Furthermore, ablation experiments were conducted for each module, demonstrating the effectiveness of each module. These results manifest the feasibility of our proposed method and the potential of FMI paradigm for BCI, providing a new training tool for upper limb rehabilitation after stroke.</t>
  </si>
  <si>
    <t>[Shi, Tianyu; Lv, Jidong; Zou, Ling] Changzhou Univ, Sch Microelect &amp; Control Engn, Changzhou 213164, Jiangsu, Peoples R China; [Gu, Xiang; Bi, Hui] Changzhou Univ, Sch Comp Sci &amp; Artificial Intelligence, Changzhou 213164, Jiangsu, Peoples R China; [Liu, Yan; Dai, Yakang] Chinese Acad Sci, Suzhou Inst Biomed Engn &amp; Technol, Dept Med Image, Suzhou 215163, Peoples R China; [Liu, Yan; Dai, Yakang] Suzhou Guoke Kangcheng Med Tech Co Ltd, Suzhou 215163, Peoples R China; [Zou, Ling] Key Lab Brain Machine Collaborat Intelligence Fdn, Hangzhou 310018, Zhejiang, Peoples R China</t>
  </si>
  <si>
    <t>Changzhou University; Changzhou University; Chinese Academy of Sciences; Suzhou Institute of Biomedical Engineering &amp; Technology, CAS</t>
  </si>
  <si>
    <t>Zou, L (corresponding author), Changzhou Univ, Sch Microelect &amp; Control Engn, Changzhou 213164, Jiangsu, Peoples R China.;Dai, YK (corresponding author), Chinese Acad Sci, Suzhou Inst Biomed Engn &amp; Technol, Dept Med Image, Suzhou 215163, Peoples R China.;Dai, YK (corresponding author), Suzhou Guoke Kangcheng Med Tech Co Ltd, Suzhou 215163, Peoples R China.;Zou, L (corresponding author), Key Lab Brain Machine Collaborat Intelligence Fdn, Hangzhou 310018, Zhejiang, Peoples R China.</t>
  </si>
  <si>
    <t>daiyk@sibet.ac.cn; zouling@cczu.edu.cn</t>
  </si>
  <si>
    <t>Bi, Hui/ABG-6036-2021; Shi, Tianyu/JAZ-0928-2023</t>
  </si>
  <si>
    <t>10.1109/ACCESS.2024.3371904</t>
  </si>
  <si>
    <t>WOS:001176926200001</t>
  </si>
  <si>
    <t>Yong, XY; Menon, C</t>
  </si>
  <si>
    <t>Yong, Xinyi; Menon, Carlo</t>
  </si>
  <si>
    <t>EEG Classification of Different Imaginary Movements within the Same Limb</t>
  </si>
  <si>
    <t>PLOS ONE</t>
  </si>
  <si>
    <t>BRAIN-COMPUTER-INTERFACE; MOTOR IMAGERY; CHRONIC STROKE; MENTAL PRACTICE; BCI; REHABILITATION; TRIAL; COMMUNICATION; RECOVERY; SYSTEM</t>
  </si>
  <si>
    <t>The task of discriminating the motor imagery of different movements within the same limb using electroencephalography (EEG) signals is challenging because these imaginary movements have close spatial representations on the motor cortex area. There is, however, a pressing need to succeed in this task. The reason is that the ability to classify different same-limb imaginary movements could increase the number of control dimensions of a brain-computer interface (BCI). In this paper, we propose a 3-class BCI system that discriminates EEG signals corresponding to rest, imaginary grasp movements, and imaginary elbow movements. Besides, the differences between simple motor imagery and goal-oriented motor imagery in terms of their topographical distributions and classification accuracies are also being investigated. To the best of our knowledge, both problems have not been explored in the literature. Based on the EEG data recorded from 12 able-bodied individuals, we have demonstrated that same-limb motor imagery classification is possible. For the binary classification of imaginary grasp and elbow (goal-oriented) movements, the average accuracy achieved is 66.9%. For the 3-class problem of discriminating rest against imaginary grasp and elbow movements, the average classification accuracy achieved is 60.7%, which is greater than the random classification accuracy of 33.3%. Our results also show that goal-oriented imaginary elbow movements lead to a better classification performance compared to simple imaginary elbow movements. This proposed BCI system could potentially be used in controlling a robotic rehabilitation system, which can assist stroke patients in performing task-specific exercises.</t>
  </si>
  <si>
    <t>[Yong, Xinyi; Menon, Carlo] Simon Fraser Univ, Sch Engn Sci, Burnaby, BC V5A 1S6, Canada</t>
  </si>
  <si>
    <t>Simon Fraser University</t>
  </si>
  <si>
    <t>Menon, C (corresponding author), Simon Fraser Univ, Sch Engn Sci, Burnaby, BC V5A 1S6, Canada.</t>
  </si>
  <si>
    <t>cmenon@sfu.ca</t>
  </si>
  <si>
    <t>; Menon, Carlo/GZG-8210-2022</t>
  </si>
  <si>
    <t>Menon, Carlo/0000-0002-2309-9977;</t>
  </si>
  <si>
    <t>e0121896</t>
  </si>
  <si>
    <t>10.1371/journal.pone.0121896</t>
  </si>
  <si>
    <t>Science &amp; Technology - Other Topics</t>
  </si>
  <si>
    <t>WOS:000352135600088</t>
  </si>
  <si>
    <t>Sharma, N; Sharma, M; Singhal, A; Fatema, N; Jadoun, VK; Malik, H; Afthanorhan, A</t>
  </si>
  <si>
    <t>Sharma, Neha; Sharma, Manoj; Singhal, Amit; Fatema, Nuzhat; Jadoun, Vinay Kumar; Malik, Hasmat; Afthanorhan, Asyraf</t>
  </si>
  <si>
    <t>A Spatiotemporal Feature Extraction Technique Using Superlet-CNN Fusion for Improved Motor Imagery Classification</t>
  </si>
  <si>
    <t>Electroencephalography; Feature extraction; Motors; Time-frequency analysis; Signal resolution; Deep learning; Wavelet analysis; Continuous wavelet transforms; Timing; Convolution; Motor imagery (MI); deep neural network (DNN); superlet transform (SLT); brain-computer interface (BCI)</t>
  </si>
  <si>
    <t>CONVOLUTIONAL NEURAL-NETWORK; SIGNAL DECOMPOSITION METHODS; EEG SIGNALS</t>
  </si>
  <si>
    <t>In the realm of Brain-Computer Interface (BCI) research, the precise decoding of motor imagery electroencephalogram (MI-EEG) signals is pivotal for the realization of systems that can be seamlessly integrated into practical applications, enhancing the autonomy of individuals with mobility impairments. This study presents an enhanced method for the precise recognition of MI tasks using EEG data, to facilitate more intuitive interactions between individuals with mobility challenges and their environment. The core challenge addressed herein is the development of robust algorithms that enable the accurate identification of MI tasks, thereby empowering individuals with mobility impairments to control devices and interfaces through cognitive commands. Although there are many different methods for analyzing MI-EEG signals, research into deep learning and transfer learning approaches for MI-EEG analysis remains scarce. This research leverages the superlet transform (SLT) to transform EEG signals into a two-dimensional (2-D) high-resolution spectral representation. This 2-D representation of segmented MI-EEG signals is then processed through an adapted pretrained residual network, which classifies the MI-EEG signals. The effectiveness of the suggested technique is evident as the achieved classification accuracy is 99.9% for binary tasks and 96.4% for multi-class tasks, representing a significant advancement over existing methods. Through an intensive comparison with present algorithms assessed in variety of performance evaluating metrics the present study emphasize the exceptional ability of proposed approach to accurately classify the different MI categories from the EEG signals and which is a great contribution to the field of BCI research field.</t>
  </si>
  <si>
    <t>[Sharma, Neha] SGT Univ, Fac Engn &amp; Technol, Dept Comp Sci &amp; Engn, Gurugram 122505, Haryana, India; [Sharma, Manoj] Bennett Univ, Sch Artificial Intelligence, Greater Noida 201310, India; [Singhal, Amit] Netaji Subhas Univ Technol, Elect &amp; Commun Dept, Delhi 110078, India; [Fatema, Nuzhat] Univ Teknol Malaysia, Fac Management, Johor Baharu 81310, Malaysia; [Fatema, Nuzhat] Manipal Acad Higher Educ, Manipal Inst Technol, Dept Elect &amp; Elect Engn, Manipal 576104, Karnataka, India; [Jadoun, Vinay Kumar] Univ Teknol Malaysia, Fac Elect Engn, Dept Elect Power Engn, Skudai 81310, Malaysia; [Malik, Hasmat] Univ Teknol Malaysia, Fac Elect Engn, Dept Elect Power Engn, Skudai 81310, Malaysia; [Malik, Hasmat] Graph Era, Dept Elect Engn, Dehra Dun 248002, India; [Afthanorhan, Asyraf] Univ Sultan Zainal Abidin UniSZA, Artificial Intelligence Islamic Civilizat &amp; Sustai, Kuala Terengganu 21300, Terengganu, Malaysia; [Afthanorhan, Asyraf] Univ Sultan Zainal Abidin UniSZA, Operat Res &amp; Management Sci, Kuala Terengganu 21300, Terengganu, Malaysia</t>
  </si>
  <si>
    <t>Netaji Subhas University of Technology; Universiti Teknologi Malaysia; Manipal Academy of Higher Education (MAHE); Universiti Teknologi Malaysia; Universiti Teknologi Malaysia; Graphic Era University; Universiti Sultan Zainal Abidin; Universiti Sultan Zainal Abidin</t>
  </si>
  <si>
    <t>Jadoun, VK (corresponding author), Univ Teknol Malaysia, Fac Elect Engn, Dept Elect Power Engn, Skudai 81310, Malaysia.;Malik, H (corresponding author), Univ Teknol Malaysia, Fac Elect Engn, Dept Elect Power Engn, Skudai 81310, Malaysia.;Malik, H (corresponding author), Graph Era, Dept Elect Engn, Dehra Dun 248002, India.</t>
  </si>
  <si>
    <t>vinay.jadoun@manipal.edu; hasmat.malik@gmail.com</t>
  </si>
  <si>
    <t>Wan Afthanorhan, Wan Mohamad Asyraf/F-1453-2014; Sharma, Neha/AFQ-4053-2022; Malik, Hasmat/I-4994-2015; Afthanorhan, Asyraf/AAC-2124-2019; Jadoun, Dr. Vinay Kumar/C-5344-2019; Singhal, Amit/GQI-4592-2022; Jadoun, Vinay/C-5344-2019; Malik, Hasmat/AAS-5515-2020</t>
  </si>
  <si>
    <t>Wan Afthanorhan, Wan Mohamad Asyraf/0000-0002-8817-9062; Singhal, Amit/0000-0002-4010-6614; Malik, Hasmat/0000-0002-0085-9734; Jadoun, Dr. Vinay Kumar/0000-0002-3373-8613;</t>
  </si>
  <si>
    <t>10.1109/ACCESS.2024.3517639</t>
  </si>
  <si>
    <t>WOS:001389548300007</t>
  </si>
  <si>
    <t>Gupta, GS; Dave, GB; Tripathi, PR; Mohanta, DK; Ghosh, S; Sinha, RK</t>
  </si>
  <si>
    <t>Gupta, Gauri Shanker; Dave, Gunjan Bhavnesh; Tripathi, Prabhat Ranjan; Mohanta, Dusmanta Kumar; Ghosh, Subhojit; Sinha, Rakesh Kumar</t>
  </si>
  <si>
    <t>Brain computer interface controlled automatic electric drive for neuro-aid system</t>
  </si>
  <si>
    <t>Brain-Computer interface (BCI); Brushless DC (BLDC) motor; Electroencephalogram (EEG); Motor imagery (MI); Time-Varying signed-distance (TSD); Quadratic discriminant analysis (QDA)</t>
  </si>
  <si>
    <t>QUADRATIC DISCRIMINANT-ANALYSIS; BCI COMPETITION 2003; FEATURE-EXTRACTION; MOTOR IMAGERY; EEG; SPEED</t>
  </si>
  <si>
    <t>Brain-computer interface (BCI) systems are used to establish communication pathways between the brain signals and a peripheral device. One such pathway can be fashioned between these signals and an electric drive to be further used for any neuro-aid application. Brain signals, which in this study are the electroencephalogram (EEG) signals from a specified focal area, get synchronized and desynchronized upon the occurrence of different motor imagery (MI). Some specific features of the neuronal brain activities occurring during MI can be extracted to get the relevant information from them. This paper proposes an algorithm based on time-varying signed distance (TSD) to obtain well-separated EEG data for the process of feature extraction. Post TSD application, power spectral density (PSD) based features were extracted, followed by using the measure of cross-correlation to select the most dominant PSD based features. A quadratic discriminant analysis (QDA) is adopted to classify the test data and to generate further control signals for regulating the motion of brushless DC (BLDC) motor. The rotation of the motor is governed by the different classes of MI data. For the experimental dataset, the accuracy of the classifier was found to be 83.3 %, 71.6 %, and 78.3 %, respectively, for three different subjects. The case corroborates the efficacy of the proposed algorithm for practical applications. Experimental validation of the proposed system is presented on a 1 kW brushless DC (BLDC) motor drive system.</t>
  </si>
  <si>
    <t>[Gupta, Gauri Shanker; Dave, Gunjan Bhavnesh; Tripathi, Prabhat Ranjan; Mohanta, Dusmanta Kumar] Birla Inst Technol, Dept Elect &amp; Elect Engn, Ranchi 835215, Jharkhand, India; [Ghosh, Subhojit] Natl Inst Technol, Elect Engn Dept, Raipur 492010, Chhattisgarh, India; [Sinha, Rakesh Kumar] Birla Inst Technol, Dept Bioengn, Ranchi 835215, Jharkhand, India</t>
  </si>
  <si>
    <t>Birla Institute of Technology Mesra; National Institute of Technology (NIT System); National Institute of Technology Raipur; Birla Institute of Technology Mesra</t>
  </si>
  <si>
    <t>Gupta, GS (corresponding author), Birla Inst Technol, Dept Elect &amp; Elect Engn, Ranchi 835215, Jharkhand, India.</t>
  </si>
  <si>
    <t>gaurishanker74@gmail.com</t>
  </si>
  <si>
    <t>; ghosh, subhojit/AAP-3720-2020; Tripathi, Prabhat/T-8628-2019; Shanker, Gauri/NKP-4906-2025; Mohanta, Dusmanta/I-1135-2012</t>
  </si>
  <si>
    <t>Gupta, Gauri Shanker/0000-0003-1573-1853; ghosh, subhojit/0000-0001-8476-331X; Tripathi, Prabhat Ranjan/0000-0001-5037-2863; Sinha, Rakesh/0000-0001-8510-1588;</t>
  </si>
  <si>
    <t>JAN</t>
  </si>
  <si>
    <t>10.1016/j.bspc.2020.102175</t>
  </si>
  <si>
    <t>WOS:000591530300013</t>
  </si>
  <si>
    <t>Gana</t>
  </si>
  <si>
    <r>
      <rPr>
        <color rgb="FF1155CC"/>
        <u/>
      </rPr>
      <t>https://docs.google.com/document/d/1Imi-VWY2AMh4u_bWXrFgDRkd0BF5lgbXSDe6eRgO52A/edit?usp=sharing</t>
    </r>
    <r>
      <rPr/>
      <t xml:space="preserve"> </t>
    </r>
  </si>
  <si>
    <t>Wang, NN; Wang, YZ; Zhu, LF; Tan, ZX; Wang, D; Sun, Y; Li, MY; Liu, GZ</t>
  </si>
  <si>
    <t>Hegde, G</t>
  </si>
  <si>
    <t>Wang, Niannian; Wang, Yingzhi; Zhu, Lifu; Tan, Zexiang; Wang, Di; Sun, Yue; Li, Mingyue; Liu, Guozhong</t>
  </si>
  <si>
    <t>The Design of Control System of Cursor Movement Based EEG</t>
  </si>
  <si>
    <t>MATERIALS SCIENCE AND PROCESSING, ENVIRONMENTAL ENGINEERING AND INFORMATION TECHNOLOGIES</t>
  </si>
  <si>
    <t>Applied Mechanics and Materials</t>
  </si>
  <si>
    <t>EEG; Motor imagery; Cursor movement; Second-order moment</t>
  </si>
  <si>
    <t>Brain-Computer Interface (BCI) systems support direct communication and control between brain and external devices without use of peripheral nerves system and muscles. BCI can convert electro-encephalogram (EEG) to the control signal to try repairing function for patients. So the study of BCI can improve the life quality of the patients. This system acquires EEG signals due to the left/right hand motor imagery among the normal subjects. For the processing of motor imagery EEG, we adopt the feature extraction method of second order moment in specific frequency band and the feature classification of linear discriminate analysis. Through the analysis of motor imagery EEG, we convert the data results into external control signal to control the movement of the cursor displayed on the computer. The experimental results show that the EEG analysis method makes it feasible and effective for disabled patients communicating with the outside world, and provides the basis for further study of brain-machine interface.</t>
  </si>
  <si>
    <t>[Wang, Niannian; Wang, Yingzhi; Zhu, Lifu; Tan, Zexiang; Wang, Di; Sun, Yue; Li, Mingyue; Liu, Guozhong] Beijing Informat Sci &amp; Technol Univ, Sch Instrument Sci &amp; Optoelect Engn, Beijing, Peoples R China</t>
  </si>
  <si>
    <t>Beijing Information Science &amp; Technology University</t>
  </si>
  <si>
    <t>Wang, NN (corresponding author), Beijing Informat Sci &amp; Technol Univ, Sch Instrument Sci &amp; Optoelect Engn, Beijing, Peoples R China.</t>
  </si>
  <si>
    <t>876764167@qq.com</t>
  </si>
  <si>
    <t>wang, yingzhi/OIV-2373-2025; Li, Mingyue/KJL-2525-2024</t>
  </si>
  <si>
    <t>10.4028/www.scientific.net/AMM.665.635</t>
  </si>
  <si>
    <t>Engineering; Materials Science</t>
  </si>
  <si>
    <t>WOS:000348127000138</t>
  </si>
  <si>
    <t>Salazar-Ramirez, A; Martin, JI; Martinez, R; Arruti, A; Muguerza, J; Sierra, B</t>
  </si>
  <si>
    <t>Salazar-Ramirez, Asier; Martin, Jose I.; Martinez, Raquel; Arruti, Andoni; Muguerza, Javier; Sierra, Basilio</t>
  </si>
  <si>
    <t>A hierarchical architecture for recognising intentionality in mental tasks on a brain-computer interface</t>
  </si>
  <si>
    <t>MOTOR IMAGERY; EEG; CLASSIFICATION; NAVIGATION</t>
  </si>
  <si>
    <t>A brain-computer interface (BCI), based on motor imagery EEG, uses information extracted from the electroencephalography signals generated by a person who intends to perform any action. One of the most important issues of current research is how to detect automatically whether the user intends to send some message to a certain device. This study presents a proposal, based on a hierarchical structured system, for recognising intentional and non-intentional mental tasks on a BCI system by applying machine learning techniques to the EEG signals. First-level clustering is performed to distinguish between intentional control (IC) and non-intentional control (NC) state patterns. Then, the patterns recognised as IC are passed on to a second stage where supervised learning techniques are used to classify them. In BCI applications, it is critical to correctly classify NC states with a low false positive rate (FPR) to avoid undesirable effects. According to the literature, we selected a maximum FPR of 10%. Under these conditions, our proposal achieved an average test accuracy of 66.6%, with an 8.2% FPR, for the BCI competition IIIa dataset. The main contribution of this paper is the hierarchical approach, based on machine learning paradigms, which performs intentional and non-intentional discrimination and, depending on the case, classifies the intended command selected by the user.</t>
  </si>
  <si>
    <t>[Salazar-Ramirez, Asier; Martin, Jose I.; Arruti, Andoni; Muguerza, Javier] Univ Basque Country UPV EHU, Dept Comp Architecture &amp; Technol, Donostia San Sebastian, Spain; [Martinez, Raquel] Univ Basque Country UPV EHU, Dept Syst Engn &amp; Automat, Bilbao, Spain; [Sierra, Basilio] Univ Basque Country UPV EHU, Dept Comp Sci &amp; Artificial Intelligence, Donostia San Sebastian, Spain</t>
  </si>
  <si>
    <t>University of Basque Country; University of Basque Country; University of Basque Country</t>
  </si>
  <si>
    <t>Martin, JI (corresponding author), Univ Basque Country UPV EHU, Dept Comp Architecture &amp; Technol, Donostia San Sebastian, Spain.</t>
  </si>
  <si>
    <t>j.martin@ehu.eus</t>
  </si>
  <si>
    <t>martin, jose/ABG-6356-2020; Martinez, Raquel/ABG-7413-2020; Muguerza Rivero, Javier/P-4838-2019; Sierra, Basilio/L-3160-2014; Arruti, Andoni/G-2404-2016; MUGUERZA RIVERO, JAVIER FRANCISCO/G-6075-2012; Salazar-Ramirez, Asier/ABG-6849-2020; Sierra, Basilio/AAX-9544-2020</t>
  </si>
  <si>
    <t>Martinez Rodriguez, Raquel/0000-0003-4655-0983; Sierra, Basilio/0000-0001-8062-9332; Arruti, Andoni/0000-0002-5324-4215; MUGUERZA RIVERO, JAVIER FRANCISCO/0000-0002-7026-7371; MARTIN ARAMBURU, JOSE IGNACIO/0000-0001-6455-131X; Salazar-Ramirez, Asier/0000-0002-3958-8214;</t>
  </si>
  <si>
    <t>JUN 18</t>
  </si>
  <si>
    <t>e0218181</t>
  </si>
  <si>
    <t>10.1371/journal.pone.0218181</t>
  </si>
  <si>
    <t>WOS:000484891700016</t>
  </si>
  <si>
    <t>Vijayendra, A; Kumaar, S; Vishwanath, RM; Omkar, SN</t>
  </si>
  <si>
    <t>Vijayendra, Abijith; Kumaar, Saumya; Vishwanath, Ravi M.; Omkar, S. N.</t>
  </si>
  <si>
    <t>A Performance Study of 14-Channel and 5-Channel EEG Systems for Real-Time Control of Unmanned Aerial Vehicles (UAVs)</t>
  </si>
  <si>
    <t>2018 SECOND IEEE INTERNATIONAL CONFERENCE ON ROBOTIC COMPUTING (IRC)</t>
  </si>
  <si>
    <t>MOTOR IMAGERY; INTERFACE; CLASSIFICATION</t>
  </si>
  <si>
    <t>Brain-computer interface (BCI), an actively researched multi-disciplinary domain, has completely transformed the approach to robotic control problems. Researchers have focused on developing algorithms that optimize robotic movement to achieve desired trajectories, and it's a general understanding that route optimization problems are difficult to solve mathematically. Humans, on the other hand, tend to optimize their day-to-day activities intuitively. In order to achieve the desired results, the brain exploits a multi-level filtering approach, where the macro features are weighted in the first layer and the microfeatures in further layers. This optimization inside the brain interestingly, leave distinct traces in electroencephalography (EEG) plots. Based on the observations, we propose to use artificial neural networks to classify the EEG data, which intuitively should give a high classification rate, because the human brain also exploits a network of neurons to classify auditory (time-series) and visual (spatial) data. In this paper, we discuss the performances of 14-channel and 5-channel EEG headsets for robotic applications. Data is acquired from 20 subjects corresponding to four different tasks. Using neural nets, we have been successfully able to classify the EEG input into four different classes. We get an overall classification accuracy of 98.8% for 14-channel and 84.5% 5-channel system. As a real-time demonstration of the interface, the predicted class number is sent to a multi-rotor via a wireless link as an appropriate velocity command.</t>
  </si>
  <si>
    <t>[Vijayendra, Abijith; Kumaar, Saumya; Vishwanath, Ravi M.; Omkar, S. N.] Indian Inst Sci, Bangalore, Karnataka, India</t>
  </si>
  <si>
    <t>Indian Institute of Science (IISC) - Bangalore</t>
  </si>
  <si>
    <t>Vijayendra, A (corresponding author), Indian Inst Sci, Bangalore, Karnataka, India.</t>
  </si>
  <si>
    <t>Saksena, Saumya Kumaar/0000-0003-2213-8265</t>
  </si>
  <si>
    <t>10.1109/IRC.2018.00040</t>
  </si>
  <si>
    <t>WOS:000450646400031</t>
  </si>
  <si>
    <t>Lin, BS; Pan, JS; Chu, TY; Lin, BS</t>
  </si>
  <si>
    <t>Lin, Bor-Shing; Pan, Jeng-Shyang; Chu, Tso-Yao; Lin, Bor-Shyh</t>
  </si>
  <si>
    <t>Development of a Wearable Motor-Imagery-Based Brain-Computer Interface</t>
  </si>
  <si>
    <t>JOURNAL OF MEDICAL SYSTEMS</t>
  </si>
  <si>
    <t>Electroencephalogram; Motor imagery; Brain computer interface; Wearable mechanical design; Wireless EEG acquisition module</t>
  </si>
  <si>
    <t>CLASSIFICATION; FILTERS; SWITCH</t>
  </si>
  <si>
    <t>A motor-imagery-based brain-computer interface (BCI) is a translator that converts the motor intention of the brain into a control command to control external machines without muscles. Numerous motor-imagery-based BCIs have been successfully proposed in previous studies. However, several electroencephalogram (EEG) channels are typically required for providing sufficient information to maintain a specific accuracy and bit rate, and the bulk volume of these EEG machines is also inconvenient. A wearable motor imagery-based BCI system was proposed and implemented in this study. A wearable mechanical design with novel active comb-shaped dry electrodes was developed to measure EEG signals without conductive gels at hair sites, which is easy and convenient for users wearing the EEG machine. In addition, a wireless EEG acquisition module was also designed to measure EEG signals, which provides a user with more freedom of motion. The proposed wearable motor-imagery-based BCI system was validated using an electrical specifications test and a hand motor imagery experiment. Experimental results showed that the proposed wearable motor-imagery-based BCI system provides favorable signal quality for measuring EEG signals and detecting motor imagery.</t>
  </si>
  <si>
    <t>[Lin, Bor-Shing] Natl Taipei Univ, Dept Comp Sci &amp; Informat Engn, Taipei 237, Taiwan; [Pan, Jeng-Shyang] Fujian Univ Technol, Coll Informat Sci &amp; Engn, Fuzhou 350118, Peoples R China; [Pan, Jeng-Shyang] Harbin Inst Technol, Shenzhen Grad Sch, Shenzhen 518000, Peoples R China; [Chu, Tso-Yao; Lin, Bor-Shyh] Natl Chiao Tung Univ, Inst Imaging &amp; Biomed Photon, Tainan 711, Taiwan; [Lin, Bor-Shyh] Chi Mei Med Ctr, Dept Med Res, Tainan 710, Taiwan</t>
  </si>
  <si>
    <t>National Taipei University; Fujian University of Technology; Harbin Institute of Technology; National Yang Ming Chiao Tung University; Chi Mei Hospital</t>
  </si>
  <si>
    <t>Lin, BS (corresponding author), Natl Taipei Univ, Dept Comp Sci &amp; Informat Engn, Taipei 237, Taiwan.</t>
  </si>
  <si>
    <t>bslin886@gmail.com</t>
  </si>
  <si>
    <t>Lin, Bor-Shyh/GYJ-0198-2022; Pan, Jeng-Shyang/AEO-3450-2022</t>
  </si>
  <si>
    <t>Lin, Bor-Shyh/0000-0002-8653-2571; Pan, Jeng-Shyang/0000-0002-3128-9025</t>
  </si>
  <si>
    <t>MAR</t>
  </si>
  <si>
    <t>10.1007/s10916-015-0429-6</t>
  </si>
  <si>
    <t>Health Care Sciences &amp; Services; Medical Informatics</t>
  </si>
  <si>
    <t>WOS:000368730900027</t>
  </si>
  <si>
    <t>Shenoy, HV; Vinod, AP</t>
  </si>
  <si>
    <t>Shenoy, H. Vikram; Vinod, A. P.</t>
  </si>
  <si>
    <t>An Iterative Optimization Technique for Robust Channel Selection in Motor Imagery based Brain Computer Interface</t>
  </si>
  <si>
    <t>2014 IEEE INTERNATIONAL CONFERENCE ON SYSTEMS, MAN AND CYBERNETICS (SMC)</t>
  </si>
  <si>
    <t>IEEE International Conference on Systems Man and Cybernetics Conference Proceedings</t>
  </si>
  <si>
    <t>Brain Computer Interface; Channel Selection; Motor Imagery; Event related Synchronization/Desynchronization</t>
  </si>
  <si>
    <t>SINGLE-TRIAL EEG; MUTUAL INFORMATION; CLASSIFICATION</t>
  </si>
  <si>
    <t>Brain-Computer Interface (BCI) provides a direct communication pathway between brain and computer/machine bypassing the conventional pathway of nerves and muscles. Electroencephalography (EEG) is the most commonly used brain signal acquisition technique in BCI systems. The use of motor imagery (MI) patterns in EEG-based BCI has been proven as an effective method to translate the user's movement intention to commands for controlling external devices. To obtain high classification accuracy of MI, conventional EEG based BCI employ a large number of scalp electrodes. However, this is inconvenient in the clinical scenarios where preparation time is of paramount importance. This paper proposes a channel selection method which utilizes a priori information of the MI task and iteratively optimizes the number of relevant channels, thereby improving the classification accuracy. The proposed method is employed in BCI Competition III dataset IVa and BCI Competition IV, dataset 2a to classify hand and foot MI tasks. The proposed method results in better accuracy than state-of-the-art methods with a significant reduction in the number of channels.</t>
  </si>
  <si>
    <t>[Shenoy, H. Vikram] Nanyang Technol Univ, Interdisciplinary Grad Sch, Singapore 639798, Singapore; [Vinod, A. P.] Nanyang Technol Univ, Sch Comp Engn, Singapore 639798, Singapore</t>
  </si>
  <si>
    <t>Nanyang Technological University; Nanyang Technological University</t>
  </si>
  <si>
    <t>Shenoy, HV (corresponding author), Nanyang Technol Univ, Interdisciplinary Grad Sch, Singapore 639798, Singapore.</t>
  </si>
  <si>
    <t>VIKRAN002@e.ntu.edu.sg</t>
  </si>
  <si>
    <t>A. P., Vinod/0000-0001-9408-1275</t>
  </si>
  <si>
    <t>WOS:000370963701168</t>
  </si>
  <si>
    <t>Vaghei, Y; Park, EJ; Arzanpour, S</t>
  </si>
  <si>
    <t>Vaghei, Yasaman; Park, Edward J.; Arzanpour, Siamak</t>
  </si>
  <si>
    <t>Decoding Brain Signals to Classify Gait Direction Anticipation</t>
  </si>
  <si>
    <t>2022 44TH ANNUAL INTERNATIONAL CONFERENCE OF THE IEEE ENGINEERING IN MEDICINE &amp; BIOLOGY SOCIETY, EMBC</t>
  </si>
  <si>
    <t>MOTOR IMAGERY; DESYNCHRONIZATION; DISCRIMINATION; EEG</t>
  </si>
  <si>
    <t>The use of brain-computer interface (BCI) technology has emerged as a promising rehabilitation approach for patients with motor function and motor-related disorders. BCIs provide an augmentative communication platform for controlling advanced assistive robots such as a lower-limb exoskeleton. Brain recordings collected by an electroencephalography (EEG) system have been employed in the BCI platform to command the exoskeleton. To date, the literature on this topic is limited to the prediction of gait intention and gait variations from EEG signals. This study, however, aims to predict the anticipated gait direction using a stream of EEG signals collected from the brain cortex. Three healthy participants (age range: 29-31, 2 female) were recruited. While wearing the EEG device, the participants were instructed to initiate gait movement toward the direction of the arrow triggers (pointing forward, backward, left, or right) being shown on a screen with a blank white background. Collected EEG data was then epoched around the trigger timepoints. These epochs were then converted to the time-frequency domain using event-related synchronization (ERS) and event-related desynchronization (ERD) methods. Finally, the classification pipeline was constructed using logistic regression (LR), support vector machine (SVM), and convolutional neural network (CNN). A ten-fold cross-validation scheme was used to evaluate the classification performance. The results revealed that the CNN classifier outperforms the other two classifiers with an accuracy of 0.75.</t>
  </si>
  <si>
    <t>[Vaghei, Yasaman; Park, Edward J.; Arzanpour, Siamak] Simon Fraser Univ, Sch Mechatron Syst Engn, Surrey, BC V3T 0A3, Canada</t>
  </si>
  <si>
    <t>Vaghei, Y (corresponding author), Simon Fraser Univ, Sch Mechatron Syst Engn, Surrey, BC V3T 0A3, Canada.</t>
  </si>
  <si>
    <t>yvaghei@sfu.ca; ed_park@sfu.ca; arzanpour@sfu.ca</t>
  </si>
  <si>
    <t>Arzanpour, Siamak/0000-0001-7734-9372</t>
  </si>
  <si>
    <t>10.1109/EMBC48229.2022.9871566</t>
  </si>
  <si>
    <t>WOS:001251147200070</t>
  </si>
  <si>
    <t>Ma, C; Wang, M</t>
  </si>
  <si>
    <t>Yang, S; Lu, H</t>
  </si>
  <si>
    <t>Ma, Chen; Wang, Mei</t>
  </si>
  <si>
    <t>Information Acquisition and Feature Extraction of Motor Imagery EEG</t>
  </si>
  <si>
    <t>ARTIFICIAL INTELLIGENCE AND ROBOTICS, ISAIR 2022, PT II</t>
  </si>
  <si>
    <t>Communications in Computer and Information Science</t>
  </si>
  <si>
    <t>Brain-computer Interface (BCI); Motor Imagery (MI); EEG signals; Feature extraction</t>
  </si>
  <si>
    <t>SINGLE-TRIAL EEG; CLASSIFICATION; SIGNALS; TIME</t>
  </si>
  <si>
    <t>Brain-computer interface (BCI) is a new interaction model that directly connects the human brain or animal brain with external devices, which has a wide range of application scenarios. Through the BCI technology based on electroen-cephalography (EEG) signal, the communication and control of external devices can be realized independently of the peripheral nervous system and muscle tissue. Motor imagery (MI) is a process in which people imagine their limbs or muscles moving, to control some external auxiliary devices (wheelchairs, robotic arms, robots etc.) so that people without motor ability can restore their communication and motor ability to a certain extent. In this paper, the basic situation of EEG and EEG signal acquisition is introduced first. Then, the analysis methods and research contents of EEG signal preprocessing, feature extraction, and feature classification based on motor imagery are introduced in detail. Finally, the brain-computer interface technology based on motor imagery is summarized and prospected.</t>
  </si>
  <si>
    <t>[Ma, Chen; Wang, Mei] Xian Univ Sci &amp; Technol, Xian 710054, Peoples R China</t>
  </si>
  <si>
    <t>Xi'an University of Science &amp; Technology</t>
  </si>
  <si>
    <t>Wang, M (corresponding author), Xian Univ Sci &amp; Technol, Xian 710054, Peoples R China.</t>
  </si>
  <si>
    <t>wangm@xust.edu.cn</t>
  </si>
  <si>
    <t>10.1007/978-981-19-7943-9_7</t>
  </si>
  <si>
    <t>WOS:001307190300007</t>
  </si>
  <si>
    <t>Bi, LZ; Fan, XA; Liu, YL</t>
  </si>
  <si>
    <t>Bi, Luzheng; Fan, Xin-An; Liu, Yili</t>
  </si>
  <si>
    <t>EEG-Based Brain-Controlled Mobile Robots: A Survey</t>
  </si>
  <si>
    <t>IEEE TRANSACTIONS ON HUMAN-MACHINE SYSTEMS</t>
  </si>
  <si>
    <t>Brain-computer interface (BCI); brain-controlled mobile robot; EEG; human factors; performance evaluation; shared control</t>
  </si>
  <si>
    <t>INDEPENDENT COMPONENT ANALYSIS; COMPUTER-INTERFACE BCI; ACTUATED WHEELCHAIR; MENTAL PROSTHESIS; HUMANOID ROBOT; MOTOR IMAGERY; CLASSIFICATION; POTENTIALS; NAVIGATION; SYSTEM</t>
  </si>
  <si>
    <t>EEG-based brain-controlled mobile robots can serve as powerful aids for severely disabled people in their daily life, especially to help them move voluntarily. In this paper, we provide a comprehensive review of the complete systems, key techniques, and evaluation issues of brain-controlled mobile robots along with some insights into related future research and development issues. We first review and classify various complete systems of brain-controlled-mobile robots into two categories from the perspective of their operational modes. We then describe key techniques that are used in these brain-controlled mobile robots including the brain-computer interface techniques and shared control techniques. This description is followed by an analysis of the evaluation issues of brain-controlled mobile robots including participants, tasks and environments, and evaluation metrics. We conclude this paper with a discussion of the current challenges and future research directions.</t>
  </si>
  <si>
    <t>[Bi, Luzheng; Fan, Xin-An] Beijing Inst Technol, Sch Mech Engn, Beijing 100081, Peoples R China; [Liu, Yili] Univ Michigan, Dept Ind &amp; Operat Engn, Ann Arbor, MI 48109 USA</t>
  </si>
  <si>
    <t>Beijing Institute of Technology; University of Michigan System; University of Michigan</t>
  </si>
  <si>
    <t>Bi, LZ (corresponding author), Beijing Inst Technol, Sch Mech Engn, Beijing 100081, Peoples R China.</t>
  </si>
  <si>
    <t>bhxblz@bit.edu.cn; 3120100145@bit.edu.cn; yililiu@umich.edu</t>
  </si>
  <si>
    <t>Xin'an, Fan/AAA-3822-2019</t>
  </si>
  <si>
    <t>Fan, Xin'an/0000-0002-1696-2744</t>
  </si>
  <si>
    <t>10.1109/TSMCC.2012.2219046</t>
  </si>
  <si>
    <t>WOS:000317645300003</t>
  </si>
  <si>
    <t>Xu, HY; Lou, JA; Su, RD; Zhang, EP</t>
  </si>
  <si>
    <t>Li, WH; Zhou, JH</t>
  </si>
  <si>
    <t>Xu, Huaiyu; Lou, Jian; Su, Ruidan; Zhang, Erpeng</t>
  </si>
  <si>
    <t>Feature Extraction and Classification of EEG for Imaging Left-right Hands Movement</t>
  </si>
  <si>
    <t>2009 2ND IEEE INTERNATIONAL CONFERENCE ON COMPUTER SCIENCE AND INFORMATION TECHNOLOGY, VOL 4</t>
  </si>
  <si>
    <t>brain computer interface; EEG; motor imagery; feature extraction; power spectral density; wavelet transform</t>
  </si>
  <si>
    <t>BRAIN-COMPUTER INTERFACE; DISCRIMINATION</t>
  </si>
  <si>
    <t>brain-computer interface (BCI) is a system that allows its users to control external devices with brain activity. This paper presents a new method for classifying the off-line experimental electroencephalogram (EEG) signals from the BCI Competition 2003, which achieved higher accuracy. The method has three main steps. First, wavelet coefficient was reconstructed by using wavelet transform in order to extract feature of EEG for mental tasks. At the same time, in frequency extraction, we use the AR model power spectral density as the frequency feature. Second, we combine the power spectral density feature and the wavelet coefficient feature as the final feature vector. Finally, linear algorithm is introduced to classify the feature vector based on iteration to obtain weight of the vector's components. The classified result shows that the effect using feature vector is better than just using one feature. This research provides a new idea for the identification of motor imagery tasks and establishes a substantial theory and experimental support for BCI application..</t>
  </si>
  <si>
    <t>[Xu, Huaiyu; Lou, Jian; Su, Ruidan; Zhang, Erpeng] Northeastern Univ, Software Coll, Integrated Circuit Appl Software Lab, Shenyang 110004, Peoples R China</t>
  </si>
  <si>
    <t>Northeastern University - China</t>
  </si>
  <si>
    <t>Xu, HY (corresponding author), Northeastern Univ, Software Coll, Integrated Circuit Appl Software Lab, Shenyang 110004, Peoples R China.</t>
  </si>
  <si>
    <t>huaiyu@cs.ucla.edu; loujian_258@sina.com; suruidan@hotmail.com</t>
  </si>
  <si>
    <t>Su, Ruidan/S-9437-2019</t>
  </si>
  <si>
    <t>10.1109/ICCSIT.2009.5234611</t>
  </si>
  <si>
    <t>WOS:000279849200013</t>
  </si>
  <si>
    <t>Andrea</t>
  </si>
  <si>
    <t>https://docs.google.com/document/d/1uragoJC3OGbwWFBsoJ4BWXUXTLxfoBMIGyYb7fiJRbA/edit?tab=t.0</t>
  </si>
  <si>
    <t>text</t>
  </si>
  <si>
    <t>Song, Y; Zhang, H; Man, JZ; Jin, XQ; Li, Q</t>
  </si>
  <si>
    <t>Song, Yu; Zhang, Hang; Man, Janzhi; Jin, Xiaoqian; Li, Qi</t>
  </si>
  <si>
    <t>AWKNet: A Lightweight Neural Network for Motor Imagery Electroencephalogram Classification Based on Adaptive Wavelet Transform Kolmogorov-Arnold</t>
  </si>
  <si>
    <t>IEEE TRANSACTIONS ON CONSUMER ELECTRONICS</t>
  </si>
  <si>
    <t>Electroencephalography; Feature extraction; Brain modeling; Convolution; Wavelet analysis; Discrete wavelet transforms; Decoding; Computational modeling; Motors; Filter banks; Brain-computer interface system; lightweight model; motor imagery electroencephalogram classification; wavelet transform</t>
  </si>
  <si>
    <t>EEG SIGNALS; FEATURES; MOVEMENT</t>
  </si>
  <si>
    <t>Motor imagery electroencephalography (MI-EEG) is widely used in the neural rehabilitation field, including for hybrid device control, such as robotic arms. However, it is difficult to apply large models with good performance in consumer electronics (CE) with limited computing and memory resources. To address this challenge, this study proposes an adaptive wavelet transform Kolmogorov-Arnold network (KAN) approach named AWKNet, which uses wavelet loss to construct personalized discrete wavelet functions for MI-EEG features suited to different topics to learn an effective multiresolution wavelet transform. Second, a depth-separable convolutional layer is used to decouple the cross-channel and frequency domain features of the EEG data, and the conventional multilayer perceptron (MLP) layer is replaced based on the KAN technique. The proposed model is lightweight and improves the performance of the brain-computer interface (BCI) system. The model was employed to classify EEG signals acquired in the BCI Comparison IV 2a dataset and in a real-world environment. In both tasks, the visualization of model weights showed that the trained AWKNet consistently generates scientifically interpretable lightweight models and outperforms more advanced neural networks in terms of classification performance, which indicates that AWKNet has broader application potential in CE. All the code is deposited on GitHub (https://github.com/Songyu-EEGsignals/AdaptiveWavelets).</t>
  </si>
  <si>
    <t>[Song, Yu; Zhang, Hang; Jin, Xiaoqian; Li, Qi] Changchun Univ Sci &amp; Technol, Sch Comp Sci &amp; Technol, Changchun 130022, Peoples R China; [Man, Janzhi] China North Ind Grp Corp, Suzhou R&amp;D Ctr, Suzhou, Jiangsu, Peoples R China</t>
  </si>
  <si>
    <t>Changchun University of Science &amp; Technology; China North Industries (NORINCO)</t>
  </si>
  <si>
    <t>Li, Q (corresponding author), Changchun Univ Sci &amp; Technol, Sch Comp Sci &amp; Technol, Changchun 130022, Peoples R China.</t>
  </si>
  <si>
    <t>133331238@qq.com; liqi@cust.edu.cn</t>
  </si>
  <si>
    <t>SONG, YU/KIG-5010-2024</t>
  </si>
  <si>
    <t>FEB</t>
  </si>
  <si>
    <t>10.1109/TCE.2025.3540970</t>
  </si>
  <si>
    <t>Engineering; Telecommunications</t>
  </si>
  <si>
    <t>WOS:001511609900034</t>
  </si>
  <si>
    <t>Nakra, A; Duhan, M</t>
  </si>
  <si>
    <t>Chaubey, N; Thampi, SM; Jhanjhi, NZ</t>
  </si>
  <si>
    <t>Nakra, Abhilasha; Duhan, Manoj</t>
  </si>
  <si>
    <t>Motor Imagery EEG Signal Classification Using Deep Neural Networks</t>
  </si>
  <si>
    <t>COMPUTING SCIENCE, COMMUNICATION AND SECURITY</t>
  </si>
  <si>
    <t>BCI; EEG; DNN</t>
  </si>
  <si>
    <t>IDENTIFICATION; SELECTION; MODE; SVM</t>
  </si>
  <si>
    <t>EEG signals can be considered a secure and safe way to capture human brain activity. EEG signals can play a vital role in motor imagery applications to control hands, feet, etc. Brain computer interface (BCI) is method of connecting human brain to laptop or computer. To control the movement of hands and feet, a BCI system is required. The generated EEG signal is read via computer and, as per EEG signal command, is set for motory movement of the hand and feet. Therefore, in motor imagery EEG applications, proper classification of the EEG signal is desired to distinguish hand and foot movements. In this work, an EEG signal classification is done using Deep Neural Networks (DNN) method and the results are compared with recent notable methods.</t>
  </si>
  <si>
    <t>[Nakra, Abhilasha; Duhan, Manoj] DCRUST, Sonepat, India</t>
  </si>
  <si>
    <t>Deenbandhu Chhotu Ram University of Science &amp; Technology</t>
  </si>
  <si>
    <t>Nakra, A (corresponding author), DCRUST, Sonepat, India.</t>
  </si>
  <si>
    <t>nakraabhilasha@gmail.com</t>
  </si>
  <si>
    <t>Duhan, Manoj/ABD-6944-2021</t>
  </si>
  <si>
    <t>10.1007/978-3-031-10551-7_10</t>
  </si>
  <si>
    <t>WOS:000895670500010</t>
  </si>
  <si>
    <t>Hadi-Saleh, Z; Mosleh, M; Al-Shahe, MA; Mosleh, M</t>
  </si>
  <si>
    <t>Hadi-Saleh, Zainab; Mosleh, Mohammad; Al-Shahe, Mohamed Adel; Mosleh, Mahdi</t>
  </si>
  <si>
    <t>Towards decoding motor imagery from EEG signal using optimized back propagation neural network with honey badger algorithm</t>
  </si>
  <si>
    <t>SCIENTIFIC REPORTS</t>
  </si>
  <si>
    <t>Classification; Electroencephalography (EEG); Motor Imagery(MI); Machine learning; Back propagation neural network (BPNN)</t>
  </si>
  <si>
    <t>COMMON SPATIAL-PATTERN; FBCSP</t>
  </si>
  <si>
    <t>The importance of using Brain-Computer Interface (BCI) systems based on electro encephalography (EEG) signal to decode Motor Imagery(MI) is very impressive because of the possibility of analyzing and translating brain signals related to movement intentions. This technology has many applications in the fields of medicine, rehabilitation, mind-controlled computers and assistive technologies. Despite significant progress in EEG-based BCI systems, there are challenges such as signal noise, low decoding accuracy, instability and changeability of signals, etc. To address these limitations, this article presents a new approach to classify MI from EEG signals with the help of synergistic Hilbert-Huang Transform(HHT) as pre-processing, Permutation Conditional Mutual Information Common Space Pattern (PCMICSP) as features and optimized back propagation neural network(BPNN) based on Honey Badger Algorithm(HBA) as classifier. Using the ergodicity of the HBA, along with chaotic mechanisms and global convergence, this approach encodes and optimizes the weights and thresholds of a BPNN. Initially, a comprehensive optimal solution is obtained through the honey badger algorithm. Subsequently, this solution is further refined to reach a more precise optimal state by introducing chaotic disturbances. The proposed method efficiency was confirmed through experimental analysis on a set of data of benchmark that is generally accessible of EEGMMIDB (imagery database or motor movement of EEG). Our experimental analysis outcome showed that mechanism development is important. Now, two EEG signal levels were taken into consideration: the first being an epileptic and the other being non-epileptic. The presented technique generated a max accuracy of 89.82% in comparison with other methods.</t>
  </si>
  <si>
    <t>[Hadi-Saleh, Zainab; Al-Shahe, Mohamed Adel; Mosleh, Mahdi] Islamic Azad Univ, Dept Comp Engn, Isf C, Esfahan, Iran; [Mosleh, Mohammad] Islamic Azad Univ, Dept Comp Engn, Dez C, Dezful, Iran; [Al-Shahe, Mohamed Adel] Univ Thi Qar, Coll Comp Sci &amp; Math, Nassiriyah, Iraq</t>
  </si>
  <si>
    <t>Islamic Azad University; Islamic Azad University; University of Thi-Qar</t>
  </si>
  <si>
    <t>Mosleh, M (corresponding author), Islamic Azad Univ, Dept Comp Engn, Dez C, Dezful, Iran.</t>
  </si>
  <si>
    <t>Mohammad.Mosleh@iau.ac.ir</t>
  </si>
  <si>
    <t>Mosleh, Mohammad/T-6461-2019</t>
  </si>
  <si>
    <t>JUL 1</t>
  </si>
  <si>
    <t>10.1038/s41598-025-05423-0</t>
  </si>
  <si>
    <t>WOS:001523017700029</t>
  </si>
  <si>
    <t>Sagila, GK; Vinod, AP</t>
  </si>
  <si>
    <t>Sagila, Gangadharan K.; Vinod, A. P.</t>
  </si>
  <si>
    <t>Direction decoding of imagined hand movements using subject-specific features from parietal EEG</t>
  </si>
  <si>
    <t>JOURNAL OF NEURAL ENGINEERING</t>
  </si>
  <si>
    <t>brain computer interfaces; direction decoding; electroencephalogram; motor imagery; posterior parietal region</t>
  </si>
  <si>
    <t>MOTOR IMAGERY; FILTER BANK; CLASSIFICATION</t>
  </si>
  <si>
    <t>Objective. Research on the decoding of brain signals to control external devices is rapidly emerging due to its versatile potential applications, including neuroprosthetic control and neurorehabilitation. Electroencephalogram (EEG)-based non-invasive brain-computer interface (BCI) systems decode brain signals to establish an augmented communication and control pathway between the brain and the computer. The development of an efficient BCI system requires accurate decoding of neural activity underlying the user's intentions. This study investigates the directional tuning of EEG characteristics from the posterior parietal region, associated with bidirectional hand movement imagination or motor imagery (MI) in left and right directions. Approach. The imagined movement directions of the chosen hand were decoded using a combination of envelope and phase features derived from parietal EEGs of both hemispheres. The proposed algorithm uses wavelets for spectral decomposition, and discriminative subject-specific subband levels are identified based on Fisher analysis of envelope and phase features. The selected features from the discriminative subband levels are used to classify left and right MI directions of the hand using a support vector machine classifier. Furthermore, the performance of the proposed algorithm is evaluated by incorporating a maximum-variance-based EEG time bin selection algorithm. Main results. With the time bin selection approach using subject-specific features, the proposed algorithm yielded an average left vs right MI direction decoding accuracy of 73.33% across 15 healthy subjects. In addition, the decoding accuracy offered by the phase features was higher than that of the envelope features, indicating the importance of phase features in MI kinematics decoding. Significance. The results reveal the significance of the parietal EEG in decoding of imagined kinematics and open new possibilities for future BCI research.</t>
  </si>
  <si>
    <t>[Sagila, Gangadharan K.] Indian Inst Technol Palakkad, Dept Elect Engn, Palakkad, India; [Vinod, A. P.] Singapore Inst Technol, Infocomm Technol Cluster, 10 Dover Dr, Singapore, Singapore</t>
  </si>
  <si>
    <t>Indian Institute of Technology System (IIT System); Indian Institute of Technology (IIT) - Palakkad; Singapore Institute of Technology</t>
  </si>
  <si>
    <t>Sagila, GK (corresponding author), Indian Inst Technol Palakkad, Dept Elect Engn, Palakkad, India.</t>
  </si>
  <si>
    <t>122014010@smail.iitpkd.ac.in</t>
  </si>
  <si>
    <t>OCT 1</t>
  </si>
  <si>
    <t>10.1088/1741-2552/ac8501</t>
  </si>
  <si>
    <t>WOS:000850358200001</t>
  </si>
  <si>
    <t>El-aal, SA; Ramadan, RA; Ghali, NI</t>
  </si>
  <si>
    <t>Pillay, N; Engelbrecht, AP; Abraham, A; DuPlessis, MC; Snasel, V; Muda, AK</t>
  </si>
  <si>
    <t>El-aal, Shereen A.; Ramadan, Rabie A.; Ghali, Neveen I.</t>
  </si>
  <si>
    <t>EEG Signals of Motor Imagery Classification Using Adaptive Neuro-Fuzzy Inference System</t>
  </si>
  <si>
    <t>ADVANCES IN NATURE AND BIOLOGICALLY INSPIRED COMPUTING</t>
  </si>
  <si>
    <t>Advances in Intelligent Systems and Computing</t>
  </si>
  <si>
    <t>Brain Computer Interface; Classification; Adaptive neuro fuzzy inference system</t>
  </si>
  <si>
    <t>Brain Computer Interface (BCI) techniques are used to help disabled people to translate brain signals to control commands imitating specific human thinking based on Electroencephalography (EEG) signal processing. This paper tries to accurately classify motor imagery imagination tasks: e.g. left and right hand movement using three different methods which are: (1) Adaptive Neuro Fuzzy Inference System (ANFIS), (2) Linear Discriminant Analysis (LDA) and (3) k-nearest neighbor (KNN) classifiers. With ANFIS, different clustering methods are utilized which are Subtractive, Fuzzy C-Mean (FCM) and K-means. These clustering methods are examined and compared in terms of their accuracy. Three features are studied in this paper including AR coefficients, Band Power Frequency, and Common Spatial pattern (CSP). The classification accuracies with two optimal channels C3 and C4 are investigated.</t>
  </si>
  <si>
    <t>[El-aal, Shereen A.; Ghali, Neveen I.] Al Azhar Univ, Fac Sci, Cairo, Egypt; [Ramadan, Rabie A.] Cairo Univ, Dept Comp Engn, Cairo, Egypt; [Ramadan, Rabie A.] Hail Univ, Hail, Saudi Arabia</t>
  </si>
  <si>
    <t>Egyptian Knowledge Bank (EKB); Al Azhar University; Egyptian Knowledge Bank (EKB); Cairo University; University Ha'il</t>
  </si>
  <si>
    <t>El-aal, SA (corresponding author), Al Azhar Univ, Fac Sci, Cairo, Egypt.</t>
  </si>
  <si>
    <t>shereen_mhmd86@yahoo.com</t>
  </si>
  <si>
    <t>Ramadan, Rabie/H-9543-2016; Abdel-aal, Shereen/HDN-5788-2022; Ghali, Neveen/AAQ-9431-2021</t>
  </si>
  <si>
    <t>Ramadan, Rabie/0000-0002-0281-9381; Abdel-aal, Shereen/0000-0001-9603-5758;</t>
  </si>
  <si>
    <t>10.1007/978-3-319-27400-3_10</t>
  </si>
  <si>
    <t>WOS:000381882900010</t>
  </si>
  <si>
    <t>Roy, R; Mahadevappa, M; Kumar, CS</t>
  </si>
  <si>
    <t>Tiwary, US</t>
  </si>
  <si>
    <t>Roy, Rinku; Mahadevappa, M.; Kumar, C. S.</t>
  </si>
  <si>
    <t>Trajectory path planning of EEG controlled robotic arm using GA</t>
  </si>
  <si>
    <t>PROCEEDING OF THE SEVENTH INTERNATIONAL CONFERENCE ON INTELLIGENT HUMAN COMPUTER INTERACTION (IHCI 2015)</t>
  </si>
  <si>
    <t>Procedia Computer Science</t>
  </si>
  <si>
    <t>Brain-computer interface (BCI); Motor imagination (MI); Electroencephalography ( EEG); Wavelet coefficients; Support Vector Machine (SVM); Genetic Algorithm (GA)</t>
  </si>
  <si>
    <t>IMAGINATION</t>
  </si>
  <si>
    <t>Brain- Computer Interface (BCI) is used to control a system through which people with motor disabilities could achieve a better quality of life by improving their interaction ability with the surrounding environment. Using BCI, patients suffering from severe motor disabilities can also control variety of applications by generating control commands using their own EEG signals. There are many assistive devices are available to reduce the personal, social, and economic burdens of their disabilities and improve their independence but many of these individuals do not have the normal neuromuscular pathway for using their hands to control an assistive device. Hence, EEG could be used to control artificial arm which can help those people to interact with their physical environment and carry out their activity of daily living. In this paper, a genetic algorithm is proposed for trajectory planning of an EEG controlled robotic arm. EEG data for motor imagery were captured from five healthy subjects and left-right hand movement was classified using Support Vector Machine classifier (SVM) with the feature used as Power feature co-efficient and wavelet co-efficient. EEG processing and GA algorithm was developed using Matlab. (C) 2016 The Authors. Published by Elsevier B.V.</t>
  </si>
  <si>
    <t>[Roy, Rinku] Indian Inst Technol, Adv Technol &amp; Dev Ctr, Kharagpur, W Bengal, India; [Mahadevappa, M.] Indian Inst Technol, Sch Med Sci &amp; Technol, Kharagpur, W Bengal, India; [Kumar, C. S.] Indian Inst Technol, Dept Mech Engn, Kharagpur, W Bengal, India</t>
  </si>
  <si>
    <t>Indian Institute of Technology System (IIT System); Indian Institute of Technology (IIT) - Kharagpur; Indian Institute of Technology System (IIT System); Indian Institute of Technology (IIT) - Kharagpur; Indian Institute of Technology System (IIT System); Indian Institute of Technology (IIT) - Kharagpur</t>
  </si>
  <si>
    <t>Mahadevappa, M (corresponding author), Indian Inst Technol, Sch Med Sci &amp; Technol, Kharagpur, W Bengal, India.</t>
  </si>
  <si>
    <t>mmaha2@smst.iitkgp.ernet.in</t>
  </si>
  <si>
    <t>Mahadevappa, Manjunatha/ACB-8878-2022; Kumar, Cheruvu/AAP-3569-2020; Roy, Rinku/I-3315-2017</t>
  </si>
  <si>
    <t>Mahadevappa, Manjunatha/0000-0003-4700-9080</t>
  </si>
  <si>
    <t>10.1016/j.procs.2016.04.080</t>
  </si>
  <si>
    <t>WOS:000386597400022</t>
  </si>
  <si>
    <t>Hu, SQ; Tian, QQ; Cao, Y; Zhang, JH; Kong, WZ</t>
  </si>
  <si>
    <t>Hu, Sanqing; Tian, Qiangqiang; Cao, Yu; Zhang, Jianhai; Kong, Wanzeng</t>
  </si>
  <si>
    <t>Motor imagery classification based on joint regression model and spectral power</t>
  </si>
  <si>
    <t>NEURAL COMPUTING &amp; APPLICATIONS</t>
  </si>
  <si>
    <t>Joint regression model; Auto-regression model; Spectral power; EEG; ERD; Motor imagery</t>
  </si>
  <si>
    <t>BRAIN-COMPUTER INTERFACES; ALGORITHMS; TASKS; BCI</t>
  </si>
  <si>
    <t>A brain-computer interface (BCI) based on motor imagery (MI) translates the subject's motor intention into a control signal through classifying electroencephalogram (EEG) patterns of different imagination tasks, for example, hand movements. Auto-regression (AR) model is one of the popular methods to describe motor imagery patterns, which is widely used by researchers to resolve subject's motor intention. In this paper, we use joint regression (JR) model and propose an algorithm by combining the coefficients of JR model and spectral powers at two specific frequencies to classify different MI patterns. The algorithm produces a classification accuracy of 90 % on the training data of one subject from BCI2003 Data set III and 80 % on the test data. The results are better than that by using AR model. We also apply the algorithm to MI tasks of one subject in our laboratory, and the classification accuracy can reach 97.86 % on the test data. The results demonstrate that the combination of JR model and spectral powers can achieve much higher accuracy for classification of MI tasks.</t>
  </si>
  <si>
    <t>[Hu, Sanqing; Tian, Qiangqiang; Zhang, Jianhai; Kong, Wanzeng] Hangzhou Dianzi Univ, Coll Comp Sci, Hangzhou 310018, Zhejiang, Peoples R China; [Cao, Yu] Univ Tennessee, Coll Engn &amp; Comp Sci, Chattanooga, TN 37403 USA</t>
  </si>
  <si>
    <t>Hangzhou Dianzi University; University of Tennessee System; University of Tennessee at Chattanooga</t>
  </si>
  <si>
    <t>Hu, SQ (corresponding author), Hangzhou Dianzi Univ, Coll Comp Sci, Hangzhou 310018, Zhejiang, Peoples R China.</t>
  </si>
  <si>
    <t>sqhu@hdu.edu.cn; yu-cao@utc.edu</t>
  </si>
  <si>
    <t>7-8</t>
  </si>
  <si>
    <t>10.1007/s00521-012-1244-3</t>
  </si>
  <si>
    <t>WOS:000326889800012</t>
  </si>
  <si>
    <t>Zolfaghari, S; Rezaii, TY; Meshgini, S</t>
  </si>
  <si>
    <t>Zolfaghari, Sepideh; Rezaii, Tohid Yousefi; Meshgini, Saeed</t>
  </si>
  <si>
    <t>Applying Common Spatial Pattern and Convolutional Neural Network to Classify Movements via EEG Signals</t>
  </si>
  <si>
    <t>CLINICAL EEG AND NEUROSCIENCE</t>
  </si>
  <si>
    <t>electroencephalography; brain-computer interface; one-versus-rest common spatial pattern; movements; convolutional neural network</t>
  </si>
  <si>
    <t>BRAIN-COMPUTER INTERFACES; MOTOR IMAGERY; CLASSIFICATION; MECHANISM</t>
  </si>
  <si>
    <t>Developing an electroencephalography (EEG)-based brain-computer interface (BCI) system is crucial to enhancing the control of external prostheses by accurately distinguishing various movements through brain signals. This innovation can provide comfortable circumstances for the populace who have movement disabilities. This study combined the most prospering methods used in BCI systems, including one-versus-rest common spatial pattern (OVR-CSP) and convolutional neural network (CNN), to automatically extract features and classify eight different movements of the shoulder, wrist, and elbow via EEG signals. The number of subjects who participated in the experiment was 10, and their EEG signals were recorded while performing movements at fast and slow speeds. We used preprocessing techniques before transforming EEG signals into another space by OVR-CSP, followed by sending signals into the CNN architecture consisting of four convolutional layers. Moreover, we extracted feature vectors after applying OVR-CSP and considered them as inputs to KNN, SVM, and MLP classifiers. Then, the performance of these classifiers was compared with the CNN method. The results demonstrated that the classification of eight movements using the proposed CNN architecture obtained an average accuracy of 97.65% for slow movements and 96.25% for fast movements in the subject-independent model. This method outperformed other classifiers with a substantial difference; ergo, it can be useful in improving BCI systems for better control of prostheses.</t>
  </si>
  <si>
    <t>[Zolfaghari, Sepideh; Rezaii, Tohid Yousefi; Meshgini, Saeed] Univ Tabriz, Fac Elect &amp; Comp Engn, Dept Biomed Engn, Tabriz, Iran</t>
  </si>
  <si>
    <t>University of Tabriz</t>
  </si>
  <si>
    <t>Meshgini, S (corresponding author), Univ Tabriz, Fac Elect &amp; Comp Engn, Dept Biomed Engn, Tabriz, Iran.</t>
  </si>
  <si>
    <t>meshgini@tabrizu.ac.ir</t>
  </si>
  <si>
    <t>10.1177/15500594241234836</t>
  </si>
  <si>
    <t>MAR 2024</t>
  </si>
  <si>
    <t>Neurosciences &amp; Neurology; Psychiatry; Psychology</t>
  </si>
  <si>
    <t>WOS:001190147200001</t>
  </si>
  <si>
    <t>Li, F; He, F; Wang, F; Zhang, DY; Xia, Y; Li, XY</t>
  </si>
  <si>
    <t>Li, Feng; He, Fan; Wang, Fei; Zhang, Dengyong; Xia, Yi; Li, Xiaoyu</t>
  </si>
  <si>
    <t>A Novel Simplified Convolutional Neural Network Classification Algorithm of Motor Imagery EEG Signals Based on Deep Learning</t>
  </si>
  <si>
    <t>APPLIED SCIENCES-BASEL</t>
  </si>
  <si>
    <t>motor imagery (MI); electroencephalogram (EEG); simplified convolutional neural network (SCNN); continuous wavelet transform (CWT)</t>
  </si>
  <si>
    <t>BRAIN-COMPUTER INTERFACES; COMMUNICATION; BCI</t>
  </si>
  <si>
    <t>Left and right hand motor imagery electroencephalogram (MI-EEG) signals are widely used in brain-computer interface (BCI) systems to identify a participant intent in controlling external devices. However, due to a series of reasons, including low signal-to-noise ratios, there are great challenges for efficient motor imagery classification. The recognition of left and right hand MI-EEG signals is vital for the application of BCI systems. Recently, the method of deep learning has been successfully applied in pattern recognition and other fields. However, there are few effective deep learning algorithms applied to BCI systems, particularly for MI based BCI. In this paper, we propose an algorithm that combines continuous wavelet transform (CWT) and a simplified convolutional neural network (SCNN) to improve the recognition rate of MI-EEG signals. Using the CWT, the MI-EEG signals are mapped to time-frequency image signals. Then the image signals are input into the SCNN to extract the features and classify them. Tested by the BCI Competition IV Dataset 2b, the experimental results show that the average classification accuracy of the nine subjects is 83.2%, and the mean kappa value is 0.651, which is 11.9% higher than that of the champion in the BCI Competition IV. Compared with other algorithms, the proposed CWT-SCNN algorithm has a better classification performance and a shorter training time. Therefore, this algorithm could enhance the classification performance of MI based BCI and be applied in real-time BCI systems for use by disabled people.</t>
  </si>
  <si>
    <t>[Li, Feng; He, Fan; Zhang, Dengyong; Xia, Yi; Li, Xiaoyu] Changsha Univ Sci &amp; Technol, Sch Comp &amp; Commun Engn, Changsha 410114, Peoples R China; [Li, Feng; He, Fan; Zhang, Dengyong; Xia, Yi; Li, Xiaoyu] Changsha Univ Sci &amp; Technol, Hunan Prov Key Lab Intelligent Proc Big Data Tran, Changsha 410114, Peoples R China; [Wang, Fei] South China Normal Univ, Sch Software, Guangzhou 510631, Peoples R China</t>
  </si>
  <si>
    <t>Changsha University of Science &amp; Technology; Changsha University of Science &amp; Technology; South China Normal University</t>
  </si>
  <si>
    <t>Wang, F (corresponding author), South China Normal Univ, Sch Software, Guangzhou 510631, Peoples R China.</t>
  </si>
  <si>
    <t>Lif@csust.edu.cn; hf0208@stu.csust.edu.cn; cce_wf@csust.edu.cn; zhdy@csust.edu.cn; csustxy@gmail.com; csustecolee@163.com</t>
  </si>
  <si>
    <t>Xia, Yi/KXQ-6440-2024; li, xiaoyu/P-5633-2017; Wang, Fei/AAT-3876-2020</t>
  </si>
  <si>
    <t>Zhang, Dengyong/0000-0002-2789-2980;</t>
  </si>
  <si>
    <t>10.3390/app10051605</t>
  </si>
  <si>
    <t>Chemistry; Engineering; Materials Science; Physics</t>
  </si>
  <si>
    <t>WOS:000525298100053</t>
  </si>
  <si>
    <t>Khan, RA; Rashid, N; Shahzaib, M; Malik, UF; Arif, A; Iqbal, J; Saleem, M; Khan, US; Tiwana, M</t>
  </si>
  <si>
    <t>Khan, Rabia Avais; Rashid, Nasir; Shahzaib, Muhammad; Malik, Umar Farooq; Arif, Arshia; Iqbal, Javaid; Saleem, Mubasher; Khan, Umar Shahbaz; Tiwana, Mohsin</t>
  </si>
  <si>
    <t>A novel framework for classification of two-class motor imagery EEG signals using logistic regression classification algorithm</t>
  </si>
  <si>
    <t>BRAIN-COMPUTER INTERFACE</t>
  </si>
  <si>
    <t>Robotics and artificial intelligence have played a significant role in developing assistive technologies for people with motor disabilities. Brain-Computer Interface (BCI) is a communication system that allows humans to communicate with their environment by detecting and quantifying control signals produced from different modalities and translating them into voluntary commands for actuating an external device. For that purpose, classification the brain signals with a very high accuracy and minimization of the errors is of profound importance to the researchers. So in this study, a novel framework has been proposed to classify the binary-class electroencephalogram (EEG) data. The proposed framework is tested on BCI Competition IV dataset 1 and BCI Competition III dataset 4a. Artifact removal from EEG data is done through preprocessing, followed by feature extraction for recognizing discriminative information in the recorded brain signals. Signal preprocessing involves the application of independent component analysis (ICA) on raw EEG data, accompanied by the employment of common spatial pattern (CSP) and log-variance for extracting useful features. Six different classification algorithms, namely support vector machine, linear discriminant analysis, k-nearest neighbor, naive Bayes, decision trees, and logistic regression, have been compared to classify the EEG data accurately. The proposed framework achieved the best classification accuracies with logistic regression classifier for both datasets. Average classification accuracy of 90.42% has been attained on BCI Competition IV dataset 1 for seven different subjects, while for BCI Competition III dataset 4a, an average accuracy of 95.42% has been attained on five subjects. This indicates that the model can be used in real time BCI systems and provide extra-ordinary results for 2-class Motor Imagery (MI) signals classification applications and with some modifications this framework can also be made compatible for multi-class classification in the future.</t>
  </si>
  <si>
    <t>[Khan, Rabia Avais; Rashid, Nasir; Shahzaib, Muhammad; Malik, Umar Farooq; Arif, Arshia; Iqbal, Javaid; Saleem, Mubasher; Khan, Umar Shahbaz; Tiwana, Mohsin] Natl Univ Sci Technol, Dept Mech Engn, Islamabad, Pakistan; [Rashid, Nasir; Iqbal, Javaid; Khan, Umar Shahbaz; Tiwana, Mohsin] Natl Ctr Robot &amp; Automat NCRA, Robot Design &amp; Dev Lab, Rawalpindi, Punjab, Pakistan</t>
  </si>
  <si>
    <t>National University of Sciences &amp; Technology - Pakistan</t>
  </si>
  <si>
    <t>Rashid, N (corresponding author), Natl Univ Sci Technol, Dept Mech Engn, Islamabad, Pakistan.;Rashid, N (corresponding author), Natl Ctr Robot &amp; Automat NCRA, Robot Design &amp; Dev Lab, Rawalpindi, Punjab, Pakistan.</t>
  </si>
  <si>
    <t>n.rashid@ceme.nust.edu.pk</t>
  </si>
  <si>
    <t>Iqbal, Javaid/AAF-3754-2020; Rashid, Nasir/AAI-5424-2021</t>
  </si>
  <si>
    <t>Toraby, Mirdavoud/0009-0006-1780-6408; Shahbaz Khan, Umar/0000-0002-5263-1408; Rashid, Nasir/0000-0003-0499-8042</t>
  </si>
  <si>
    <t>SEP 8</t>
  </si>
  <si>
    <t>e0276133</t>
  </si>
  <si>
    <t>10.1371/journal.pone.0276133</t>
  </si>
  <si>
    <t>WOS:001091871500003</t>
  </si>
  <si>
    <t>Rodríguez-Bermúdez, G; Bueno-Crespo, A; Martinez-Albaladejo, FJ</t>
  </si>
  <si>
    <t>Rodriguez-Bermudez, German; Bueno-Crespo, Andres; Jose Martinez-Albaladejo, F.</t>
  </si>
  <si>
    <t>Classifying BCI signals from novice users with extreme learning machine</t>
  </si>
  <si>
    <t>OPEN PHYSICS</t>
  </si>
  <si>
    <t>Brain computer interface; motor imagery; extreme learning machine; novice users</t>
  </si>
  <si>
    <t>BRAIN-COMPUTER INTERFACE; MOTOR IMAGERY; CLASSIFICATION; EEG; ALGORITHMS</t>
  </si>
  <si>
    <t>Brain computer interface (BCI) allows to control external devices only with the electrical activity of the brain. In order to improve the system, several approaches have been proposed. However it is usual to test algorithms with standard BCI signals from experts users or from repositories available on Internet. In this work, extreme learning machine (ELM) has been tested with signals from 5 novel users to compare with standard classification algorithms. Experimental results show that ELM is a suitable method to classify electroencephalogram signals from novice users.</t>
  </si>
  <si>
    <t>[Rodriguez-Bermudez, German] Spanish Air Force Acad, Univ Ctr Def, Ctr Univ Def San Javier, Murcia, Spain; [Bueno-Crespo, Andres] Univ Catolica Murcia, Bioinformat &amp; High Performance Comp Res Grp BIO H, Murcia, Spain; [Jose Martinez-Albaladejo, F.] Univ Catolica Murcia, Telecommun Dept, Murcia, Spain</t>
  </si>
  <si>
    <t>Universidad Catolica de Murcia; Universidad Catolica de Murcia</t>
  </si>
  <si>
    <t>Rodríguez-Bermúdez, G (corresponding author), Spanish Air Force Acad, Univ Ctr Def, Ctr Univ Def San Javier, Murcia, Spain.</t>
  </si>
  <si>
    <t>german.rodriguez@cud.upct.es; abueno@ucam.edu; fjmartinez@ucam.edu</t>
  </si>
  <si>
    <t>Rodriguez-Bermudez, German/K-5337-2014; Bueno-Crespo, Andres/O-5423-2016; Rodríguez-Bermúdez, German/K-5337-2014; Bueno-Crespo, Andrés/AAB-2204-2019</t>
  </si>
  <si>
    <t>Rodriguez-Bermudez, German/0000-0003-3121-1532; Bueno-Crespo, Andres/0000-0003-1734-6852;</t>
  </si>
  <si>
    <t>10.1515/phys-2017-0056</t>
  </si>
  <si>
    <t>Physics</t>
  </si>
  <si>
    <t>WOS:000408793600006</t>
  </si>
  <si>
    <t>Cariello, S; Sanalitro, D; Micali, A; Buscarino, A; Bucolo, M</t>
  </si>
  <si>
    <t>Cariello, Simona; Sanalitro, Dario; Micali, Alessandro; Buscarino, Arturo; Bucolo, Maide</t>
  </si>
  <si>
    <t>Brain-Computer-Interface-Based Smart-Home Interface by Leveraging Motor Imagery Signals</t>
  </si>
  <si>
    <t>INVENTIONS</t>
  </si>
  <si>
    <t>brain-computer interface; motor imagery; home automation</t>
  </si>
  <si>
    <t>In this work, we propose a brain-computer-interface (BCI)-based smart-home interface which leverages motor imagery (MI) signals to operate home devices in real-time. The idea behind MI-BCI is that different types of MI activities will activate various brain regions. Therefore, after recording the user's electroencephalogram (EEG) data, two approaches, i.e., Regularized Common Spatial Pattern (RCSP) and Linear Discriminant Analysis (LDA), analyze these data to classify users' imagined tasks. In such a way, the user can perform the intended action. In the proposed framework, EEG signals were recorded by using the EMOTIV helmet and OpenVibe, a free and open-source platform that has been utilized for EEG signal feature extraction and classification. After being classified, such signals are then converted into control commands, and the open communication protocol for building automation KNX (Konnex) is proposed for the tasks' execution, i.e., the regulation of two switching devices. The experimental results from the training and testing stages provide evidence of the effectiveness of the users' intentions classification, which has subsequently been used to operate the proposed home automation system, allowing users to operate two light bulbs.</t>
  </si>
  <si>
    <t>[Cariello, Simona; Sanalitro, Dario; Buscarino, Arturo; Bucolo, Maide] Univ Catania, Dept Elect Elect &amp; Comp DIEEI, I-95121 Catania, Italy; [Cariello, Simona] Natl Inst Geophys &amp; Volcanol INGV, I-95121 Catania, Italy; [Micali, Alessandro] EMMEVI Srl, I-95121 Catania, Italy</t>
  </si>
  <si>
    <t>University of Catania; Istituto Nazionale Geofisica e Vulcanologia (INGV)</t>
  </si>
  <si>
    <t>Sanalitro, D (corresponding author), Univ Catania, Dept Elect Elect &amp; Comp DIEEI, I-95121 Catania, Italy.</t>
  </si>
  <si>
    <t>simona.cariello@phd.unict.it; dario.sanalitro@unict.it; amicali@emmevisrl.eu; arturo.buscarino@unict.it; maide.bucolo@unict.it</t>
  </si>
  <si>
    <t>Buscarino, Arturo/0000-0001-5782-8982; Cariello, Simona/0000-0002-1074-9985; BUCOLO, Maide Angela Rita/0000-0003-4867-0620</t>
  </si>
  <si>
    <t>10.3390/inventions8040091</t>
  </si>
  <si>
    <t>WOS:001057673800001</t>
  </si>
  <si>
    <t>Wang, ZY; Wang, C; Wu, GZ; Luo, YH; Wu, XY</t>
  </si>
  <si>
    <t>Wang, Zhouyang; Wang, Can; Wu, Guizhong; Luo, Yuhao; Wu, Xinyu</t>
  </si>
  <si>
    <t>A Control System of Lower Limb Exoskeleton Robots Based on Motor Imagery</t>
  </si>
  <si>
    <t>2017 IEEE INTERNATIONAL CONFERENCE ON INFORMATION AND AUTOMATION (IEEE ICIA 2017)</t>
  </si>
  <si>
    <t>Control system; Brain-computer Interface; Motor imagery; Robot</t>
  </si>
  <si>
    <t>In this paper, we have developed an asynchronous brain computer interface (BCI)-based lower limb exoskeleton control system based on motor imagery (MI). By decoding electroencephalography (EEG) signals in real-time, users were able to walk forward, sit down, and stand up while wearing the exoskeleton. EEG feature vectors associated with the motor imagery were extracted from the filtered EEG signals with common spatial patterns (CSP) method. And support vector machine (SVM) was employed to address an EEG-based three class motor imagery classification task. Overall, four healthy subjects participated in the experiment to evaluate performance. To achieve a better classification result, parameters of CSP and SVM were trained in the offline experiment. In the subsequent online experiment, the results exhibited accuracies of 85.33%, 84%, 72.67% and 81.33% It indicates that subjects can complete the task fluently and the control system can decode EEG signals with a high recognition rate. Further, the combination in decision table obviously reduces the probability of wrong actions.</t>
  </si>
  <si>
    <t>[Wang, Zhouyang; Wang, Can; Wu, Guizhong; Luo, Yuhao; Wu, Xinyu] Shenzhen Inst Adv Technol, CAS Key Lab Human Machine Intelligence Synerg Sys, Shenzhen, Peoples R China; [Wang, Zhouyang; Wang, Can; Wu, Guizhong; Luo, Yuhao; Wu, Xinyu] Chinese Acad Sci, Shenzhen Inst Adv Technol, Guangdong Prov Key Lab Robot &amp; Intelligent Syst, Beijing, Peoples R China; [Wang, Zhouyang] Huazhong Univ Sci &amp; Technol, Sch Opt &amp; Elect Informat, Wuhan, Hubei, Peoples R China; [Wu, Xinyu] Chinese Univ Hong Kong, Dept Mech &amp; Automat, Hong Kong, Hong Kong, Peoples R China</t>
  </si>
  <si>
    <t>Chinese Academy of Sciences; Shenzhen Institute of Advanced Technology, CAS; Chinese Academy of Sciences; Shenzhen Institute of Advanced Technology, CAS; Huazhong University of Science &amp; Technology; Chinese University of Hong Kong</t>
  </si>
  <si>
    <t>Wang, ZY; Wu, XY (corresponding author), Shenzhen Inst Adv Technol, CAS Key Lab Human Machine Intelligence Synerg Sys, Shenzhen, Peoples R China.;Wang, ZY; Wu, XY (corresponding author), Chinese Acad Sci, Shenzhen Inst Adv Technol, Guangdong Prov Key Lab Robot &amp; Intelligent Syst, Beijing, Peoples R China.;Wang, ZY (corresponding author), Huazhong Univ Sci &amp; Technol, Sch Opt &amp; Elect Informat, Wuhan, Hubei, Peoples R China.;Wu, XY (corresponding author), Chinese Univ Hong Kong, Dept Mech &amp; Automat, Hong Kong, Hong Kong, Peoples R China.</t>
  </si>
  <si>
    <t>wangzy@siat.ac.cn; can.wang@siat.ac.cn; gz.wu@siat.ac.cn; luoyh@siat.ac.cn; xy.wu@siat.ac.cn</t>
  </si>
  <si>
    <t>; WANG, CAN/GWV-0969-2022; wu, xinyu/KRQ-4615-2024</t>
  </si>
  <si>
    <t>Wang, Can/0000-0002-0914-3994;</t>
  </si>
  <si>
    <t>Computer Science; Engineering; Robotics</t>
  </si>
  <si>
    <t>WOS:000425855100053</t>
  </si>
  <si>
    <t>Saduanov, B; Tokmurzina, D; Kunanbayev, K; Abibullaev, B</t>
  </si>
  <si>
    <t>Saduanov, Batyrkhan; Tokmurzina, Dana; Kunanbayev, Kassymzhomart; Abibullaev, Berdakh</t>
  </si>
  <si>
    <t>Design and Optimization of a Real-Time Asynchronous BCI Control Strategy for Robotic Manipulator Assistance</t>
  </si>
  <si>
    <t>This paper presents the design and evaluation of a robotic system controlled by motor imagery based Brain-Computer Interface (BCI), which allows users to perform reachgrasp-release activities in 3D space. The sequential axis control methodology is used in the research to address a low information-transfer rate problem, where a participant has to provide several low-level commands to the robot, such as position on x, y, and z-axes, and close/release gripper actions. With the advantage of the motor imagery paradigm, the system is asynchronous, and the operator performs self-paced control. The BCI system is based on sensory-motor rhythms elicited by electroencephalographic (EEG) signals in the frequency domain to classify mental intent in real-time by a soft voting ensemble classifier model. The experimental results have shown the feasibility of controlling a six-degree-of-freedom robot manipulator with the classification performance in the range of 64 - 86% tested on seven healthy individuals.</t>
  </si>
  <si>
    <t>[Saduanov, Batyrkhan; Tokmurzina, Dana; Kunanbayev, Kassymzhomart; Abibullaev, Berdakh] Nazarbayev Univ, Sch Engn &amp; Digital Sci, Nur Sultan, Kazakhstan</t>
  </si>
  <si>
    <t>Nazarbayev University</t>
  </si>
  <si>
    <t>Abibullaev, B (corresponding author), Nazarbayev Univ, Sch Engn &amp; Digital Sci, Nur Sultan, Kazakhstan.</t>
  </si>
  <si>
    <t>berdakh.abibullaev@nu.edu.kz</t>
  </si>
  <si>
    <t>; ABIBULLAEV, BERDAKH/X-4129-2019</t>
  </si>
  <si>
    <t>Saduanov, Batyrkhan/0000-0003-0184-4355;</t>
  </si>
  <si>
    <t>10.1109/bci48061.2020.9061608</t>
  </si>
  <si>
    <t>WOS:000612527100039</t>
  </si>
  <si>
    <t>Naito, G; Yoshida, L; Numata, T; Ogawa, Y; Kotani, K; Jimbo, Y</t>
  </si>
  <si>
    <t>Naito, Genzo; Yoshida, Lui; Numata, Takashi; Ogawa, Yutaro; Kotani, Kiyoshi; Jimbo, Yasuhiko</t>
  </si>
  <si>
    <t>Simultaneous Classification of Multiple Motor Imagery and P300 for Increase in Output Information of Brain-Computer Interface</t>
  </si>
  <si>
    <t>ELECTRONICS AND COMMUNICATIONS IN JAPAN</t>
  </si>
  <si>
    <t>brain-computer interface; support vector machines; multiclass classification</t>
  </si>
  <si>
    <t>SINGLE TRIAL EEG; MOVEMENT</t>
  </si>
  <si>
    <t>The brain-computer interface (BCI) is a system to obtain information from brain signals to control computers. P300 and motor imagery tasks in electroencephalograms are the most used features for BCI. However, BCI with P300 classifies only two states and the features of the motor imagery task are too obscure to be classified easily. Therefore, we propose a method of increasing the number of classified states with high accuracy by mixed signal processing for P300 and motor imagery tasks. BCI using P300 and a motor imagery task will have a higher bit rate than conventional BCI. We design an experiment that gives four data classes, namely, control, P300, and P300 for motor imagery of the right hand or left hand. First, we confirm that P300 appears during motor imagery tasks. In addition, we investigate the best method of feature extraction. Finally, we classify four classes by means of multiclass support vector machines, and show the effectiveness of mixed signals that contain P300 and motor imagery. (C) 2014 Wiley Periodicals, Inc.</t>
  </si>
  <si>
    <t>[Naito, Genzo; Yoshida, Lui; Ogawa, Yutaro] Univ Tokyo, Tokyo 1138654, Japan; [Numata, Takashi] Univ Tokyo, Grad Sch Frontier Sci, Doctoral Program, Tokyo 1138654, Japan; [Kotani, Kiyoshi; Jimbo, Yasuhiko] Univ Tokyo, Grad Sch Engn, Tokyo 1138654, Japan</t>
  </si>
  <si>
    <t>University of Tokyo; University of Tokyo; University of Tokyo</t>
  </si>
  <si>
    <t>Naito, G (corresponding author), Univ Tokyo, Tokyo 1138654, Japan.</t>
  </si>
  <si>
    <t>NUMATA, TAKASHI/AAI-6329-2020</t>
  </si>
  <si>
    <t>10.1002/ecj.11622</t>
  </si>
  <si>
    <t>WOS:000346698900007</t>
  </si>
  <si>
    <t>Geng, T; Gan, JQ</t>
  </si>
  <si>
    <t>Geng, Tao; Gan, John Q.</t>
  </si>
  <si>
    <t>Motor Prediction in Brain-Computer Interfaces for Controlling Mobile Robots</t>
  </si>
  <si>
    <t>2008 30TH ANNUAL INTERNATIONAL CONFERENCE OF THE IEEE ENGINEERING IN MEDICINE AND BIOLOGY SOCIETY, VOLS 1-8</t>
  </si>
  <si>
    <t>OSCILLATIONS; BAND</t>
  </si>
  <si>
    <t>EEG-based Brain-Computer Interface (BCI) call be regarded as a new channel for motor control except that it does not involve muscles. Normal neuromuscular motor control has two fundamental components: (1) to control the body, and (2) to predict the consequences of the control command, which is called motor prediction. In this study, after training with a specially designed BCI paradigm based on motor imagery, two subjects learnt to predict the time course of some features of the EEG signals. It is shown that, with this newly-obtained motor prediction skill, subjects can use motor imagery of feet to directly control a mobile robot to avoid obstacles and reach a small target in a time-critical scenario.</t>
  </si>
  <si>
    <t>[Geng, Tao; Gan, John Q.] Univ Essex, Dept Comp &amp; Elect Syst, Colchester CO4 3SQ, Essex, England</t>
  </si>
  <si>
    <t>University of Essex</t>
  </si>
  <si>
    <t>Geng, T (corresponding author), Univ Essex, Dept Comp &amp; Elect Syst, Colchester CO4 3SQ, Essex, England.</t>
  </si>
  <si>
    <t>tgeng@essex.ac.uk; jqgan@essex.ac.uk</t>
  </si>
  <si>
    <t>Gan, John/0000-0003-1230-7643</t>
  </si>
  <si>
    <t>WOS:000262404500159</t>
  </si>
  <si>
    <t>Prisha</t>
  </si>
  <si>
    <t>Kim, JH; Chavarriaga, R; Millán, JD; Lee, SW</t>
  </si>
  <si>
    <t>Kim, Jeong-Hun; Chavarriaga, Ricardo; Millan, Jose del R.; Lee, Seong-Whan</t>
  </si>
  <si>
    <t>Three-Dimensional Upper Limb Movement Decoding from EEG Signals</t>
  </si>
  <si>
    <t>2013 IEEE INTERNATIONAL WINTER WORKSHOP ON BRAIN-COMPUTER INTERFACE (BCI)</t>
  </si>
  <si>
    <t>BCI; Arm movement trajectory; EEG; Upper limb rehabilitation</t>
  </si>
  <si>
    <t>A brain-computer interface (BCI) can be used to control a limb neuroprosthesis in patients. In particular, decoding trajectory of upper limb with motor imagery (MI) can support motor rehabilitation using a wearable robotic arm. Recent research shows the possibility of decoding hand movement trajectory from electroencephalography (EEG) signals. However, such studies are insufficient to apply motor rehabilitation, which are only considered hand movement trajectory. Although disabilities patients take correct hand movement, sometimes wrong elbow movement can be taken in motor rehabilitation. In this study, we explore to decode velocity of both hand and elbow at the same time from EEG signals when subjects move upper limb. The result shows feasibility toward controlling robotic arm.</t>
  </si>
  <si>
    <t>[Kim, Jeong-Hun; Lee, Seong-Whan] Korea Univ, Dept Brain &amp; Cognit Engn, Seoul, South Korea; [Chavarriaga, Ricardo; Millan, Jose del R.] Ecole Polytech Fed Lausanne, Defitech Chair Noninvas Brain Machine Interface, Lausanne, Switzerland</t>
  </si>
  <si>
    <t>Korea University; Swiss Federal Institutes of Technology Domain; Ecole Polytechnique Federale de Lausanne</t>
  </si>
  <si>
    <t>Kim, JH (corresponding author), Korea Univ, Dept Brain &amp; Cognit Engn, Seoul, South Korea.</t>
  </si>
  <si>
    <t>Millan, Jose del R./F-1696-2011; Chavarriaga, Ricardo/F-8952-2013</t>
  </si>
  <si>
    <t>Millan, Jose del R./0000-0001-5819-1522; Chavarriaga, Ricardo/0000-0002-8879-2860</t>
  </si>
  <si>
    <t>WOS:000395465900043</t>
  </si>
  <si>
    <t>Almajidy, RK; Boudria, Y; Hofmann, UG; Besio, W; Mankodiya, K</t>
  </si>
  <si>
    <t>Almajidy, Rand K.; Boudria, Yacine; Hofmann, Ulrich G.; Besio, Walter; Mankodiya, Kunal</t>
  </si>
  <si>
    <t>A Multimodal 2D Brain Computer Interface</t>
  </si>
  <si>
    <t>2015 37TH ANNUAL INTERNATIONAL CONFERENCE OF THE IEEE ENGINEERING IN MEDICINE AND BIOLOGY SOCIETY (EMBC)</t>
  </si>
  <si>
    <t>Near Infrared Spectroscopy; multimodal Brain Computer Interface; tripolar concentric ring electrodes (TCRE)</t>
  </si>
  <si>
    <t>MOTOR IMAGERY; FNIRS; BCI</t>
  </si>
  <si>
    <t>In this work we used multimodal, non-invasive brain signal recording systems, namely Near Infrared Spectroscopy (NIRS), disc electrode electroencephalography (EEG) and tripolar concentric ring electrodes (TCRE) electroencephalography (tEEG). 7 healthy subjects participated in our experiments to control a 2-D Brain Computer Interface (BCI). Four motor imagery task were performed, imagery motion of the left hand, the right hand, both hands and both feet. The signal slope (SS) of the change in oxygenated hemoglobin concentration measured by NIRS was used for feature extraction while the power spectrum density (PSD) of both EEG and tEEG in the frequency band 8-30Hz was used for feature extraction. Linear Discriminant Analysis (LDA) was used to classify different combinations of the aforementioned features. The highest classification accuracy (85.2%) was achieved by using features from all the three brain signals recording modules. The improvement in classification accuracy was highly significant (p=0.0033) when using the multimodal signals features as compared to pure EEG features.</t>
  </si>
  <si>
    <t>[Almajidy, Rand K.; Hofmann, Ulrich G.] Univ Freiburg, Med Ctr, Dept Neurosurg, Sect Neuroelect Syst, Hugstetter Str 55, D-79106 Freiburg, Germany; [Almajidy, Rand K.] Med Univ Lubeck, Inst Signal Proc, D-23538 Lubeck, Germany; [Almajidy, Rand K.] Univ Diyala, Coll Med, Diyala, Iraq; [Boudria, Yacine; Besio, Walter; Mankodiya, Kunal] Univ Rhode Isl, Dept Elect Comp &amp; Biomed Engn, Kingston, RI 02881 USA</t>
  </si>
  <si>
    <t>University of Freiburg; University of Lubeck; University of Diyala; University of Rhode Island</t>
  </si>
  <si>
    <t>Almajidy, RK (corresponding author), Univ Freiburg, Med Ctr, Dept Neurosurg, Sect Neuroelect Syst, Hugstetter Str 55, D-79106 Freiburg, Germany.</t>
  </si>
  <si>
    <t>rand.almajidy@klinikum.uni-freiburg.de; yaciboud@gmail.com; ulrich.hofmann@uniklinik-freiburg.de; besio@ele.uri.edu; kunalm@ele.uri.edu</t>
  </si>
  <si>
    <t>Mankodiya, Kunal/Z-4179-2019; Hofmann, Ulrich/D-7107-2013</t>
  </si>
  <si>
    <t>Hofmann, Ulrich/0000-0002-6264-3701</t>
  </si>
  <si>
    <t>WOS:000371717201090</t>
  </si>
  <si>
    <t>Tang, YC; Chen, W; Zhang, XY</t>
  </si>
  <si>
    <t>Li, B; Yue, L; Jiang, J; Chen, W; Li, X; Long, G; Fang, F; Yu, H</t>
  </si>
  <si>
    <t>Tang, Yichen; Chen, Wei; Zhang, Xuyun</t>
  </si>
  <si>
    <t>An Empirical Study on Human Flying Imagery Using EEG</t>
  </si>
  <si>
    <t>ADVANCED DATA MINING AND APPLICATIONS, ADMA 2021, PT I</t>
  </si>
  <si>
    <t>Lecture Notes in Artificial Intelligence</t>
  </si>
  <si>
    <t>Machine learning; BCI; EEG; Mental imagery; Flying imagery</t>
  </si>
  <si>
    <t>RIEMANNIAN GEOMETRY; CURSOR MOVEMENT; SIGNALS; SPACE</t>
  </si>
  <si>
    <t>Traditional electroencephalography (EEG) based brain computer interface (BCI) systems for performing three-dimensional (3-D) movement control used motor imagery paradigm, where the participants had to be trained to imagine certain combinations of movements of parts of their body such as hands, feet, and tongue to control the movements in separate dimensions. In the present work, we propose a new mental imagery - flying imagery - where the participants imagine flying in certain directions in the 3-D space surrounding them. As an empirical study, the present work used machine learning methods to classify flying imagery under two stages (preparation and execution) in six directions (forward, backward, left, right, up, and down) along with a control state where no movement was imagined. We also performed classification-based time-frequency analyses in identifying the significant frequency bands, time windows, and EEG features associated with flying imagery that differ between classes and contribute to the classification. We obtained classification results significantly better than chance levels, showing that the direction of flying imagery can be decoded from the EEG signals. Our results also suggest that the spatial information of flying imagery might be encoded mainly in alpha band activities over the parietal lobe, likely originated from the posterior parietal cortex (PPC).</t>
  </si>
  <si>
    <t>[Tang, Yichen; Chen, Wei] Univ Auckland, Auckland, New Zealand; [Chen, Wei] Univ Tokyo, Tokyo, Japan; [Zhang, Xuyun] Macquarie Univ, Sydney, NSW, Australia</t>
  </si>
  <si>
    <t>University of Auckland; University of Tokyo; Macquarie University</t>
  </si>
  <si>
    <t>Zhang, XY (corresponding author), Macquarie Univ, Sydney, NSW, Australia.</t>
  </si>
  <si>
    <t>xuyun.zhang@mq.edu.au</t>
  </si>
  <si>
    <t>; Zhang, Xuyun/ADR-2749-2022</t>
  </si>
  <si>
    <t>Chen, Wei/0000-0001-5154-6896; Zhang, Xuyun/0000-0001-7353-4159; Tang, Yichen/0000-0002-9081-2736;</t>
  </si>
  <si>
    <t>10.1007/978-3-030-95405-5_2</t>
  </si>
  <si>
    <t>WOS:000755371100002</t>
  </si>
  <si>
    <t>Hashem, HA; Abdulazeem, Y; Labib, LM; Elhosseini, MA; Shehata, M</t>
  </si>
  <si>
    <t>Hashem, Hend A.; Abdulazeem, Yousry; Labib, Labib M.; Elhosseini, Mostafa A.; Shehata, Mohamed</t>
  </si>
  <si>
    <t>An Integrated Machine Learning-Based Brain Computer Interface to Classify Diverse Limb Motor Tasks: Explainable Model</t>
  </si>
  <si>
    <t>brain-computer interface (BCI); limb motor tasks; whale optimization algorithm (WOA); machine learning classification; BCI competition III dataset IVa; Explainable AI (XAI)</t>
  </si>
  <si>
    <t>FEATURE-SELECTION; EEG; CLASSIFICATION; ALGORITHM; STROKE</t>
  </si>
  <si>
    <t>Terminal neurological conditions can affect millions of people worldwide and hinder them from doing their daily tasks and movements normally. Brain computer interface (BCI) is the best hope for many individuals with motor deficiencies. It will help many patients interact with the outside world and handle their daily tasks without assistance. Therefore, machine learning-based BCI systems have emerged as non-invasive techniques for reading out signals from the brain and interpreting them into commands to help those people to perform diverse limb motor tasks. This paper proposes an innovative and improved machine learning-based BCI system that analyzes EEG signals obtained from motor imagery to distinguish among various limb motor tasks based on BCI competition III dataset IVa. The proposed framework pipeline for EEG signal processing performs the following major steps. The first step uses a meta-heuristic optimization technique, called the whale optimization algorithm (WOA), to select the optimal features for discriminating between neural activity patterns. The pipeline then uses machine learning models such as LDA, k-NN, DT, RF, and LR to analyze the chosen features to enhance the precision of EEG signal analysis. The proposed BCI system, which merges the WOA as a feature selection method and the optimized k-NN classification model, demonstrated an overall accuracy of 98.6%, outperforming other machine learning models and previous techniques on the BCI competition III dataset IVa. Additionally, the EEG feature contribution in the ML classification model is reported using Explainable AI (XAI) tools, which provide insights into the individual contributions of the features in the predictions made by the model. By incorporating XAI techniques, the results of this study offer greater transparency and understanding of the relationship between the EEG features and the model's predictions. The proposed method shows potential levels for better use in controlling diverse limb motor tasks to help people with limb impairments and support them while enhancing their quality of life.</t>
  </si>
  <si>
    <t>[Hashem, Hend A.; Labib, Labib M.; Elhosseini, Mostafa A.; Shehata, Mohamed] Mansoura Univ, Fac Engn, Comp &amp; Syst Engn Dept, Mansoura 35516, Egypt; [Hashem, Hend A.] Mansoura Univ, Nile Higher Inst Engn &amp; Technol, Mansoura 35516, Egypt; [Abdulazeem, Yousry] Mansoura Univ, MISR Higher Inst Engn &amp; Technol, Comp Engn Dept, Mansoura 35516, Egypt; [Elhosseini, Mostafa A.] Taibah Univ, Coll Comp Sci &amp; Engn, Yanbu 46421, Saudi Arabia; [Shehata, Mohamed] Univ Louisville, Speed Sch Engn, Comp Sci &amp; Engn Dept, Louisville, KY 40292 USA</t>
  </si>
  <si>
    <t>Egyptian Knowledge Bank (EKB); Mansoura University; Egyptian Knowledge Bank (EKB); Mansoura University; Egyptian Knowledge Bank (EKB); Mansoura University; Taibah University; University of Louisville</t>
  </si>
  <si>
    <t>Elhosseini, MA; Shehata, M (corresponding author), Mansoura Univ, Fac Engn, Comp &amp; Syst Engn Dept, Mansoura 35516, Egypt.;Elhosseini, MA (corresponding author), Taibah Univ, Coll Comp Sci &amp; Engn, Yanbu 46421, Saudi Arabia.;Shehata, M (corresponding author), Univ Louisville, Speed Sch Engn, Comp Sci &amp; Engn Dept, Louisville, KY 40292 USA.</t>
  </si>
  <si>
    <t>melhosseini@mans.edu.eg; mnsheh01@louisville.edu</t>
  </si>
  <si>
    <t>AbdulAzeem, Yousry/C-2112-2014; Shehata, Mohamed/HGC-5417-2022; Elhosseini, Mostafa/AHA-8436-2022</t>
  </si>
  <si>
    <t>Elhosseini, Mostafa/0000-0002-1259-6193; Shehata, Mohamed/0000-0001-6640-6183;</t>
  </si>
  <si>
    <t>10.3390/s23063171</t>
  </si>
  <si>
    <t>WOS:000957798000001</t>
  </si>
  <si>
    <t>Cho, JH; Kwon, BH; Lee, BH</t>
  </si>
  <si>
    <t>Cho, Jeong-Hyun; Kwon, Byoung-Hee; Lee, Byeong-Hoo</t>
  </si>
  <si>
    <t>Decoding Multi-class Motor-related Intentions with User-optimized and Robust BCI System Based on Multimodal Dataset</t>
  </si>
  <si>
    <t>2023 11TH INTERNATIONAL WINTER CONFERENCE ON BRAIN-COMPUTER INTERFACE, BCI</t>
  </si>
  <si>
    <t>brain-computer interface; motor execution; motor imagery; hand grasping; electroencephalogram; deep learning</t>
  </si>
  <si>
    <t>IMAGERY; SUBJECT; EEG</t>
  </si>
  <si>
    <t>A brain-computer interface (BCI) based on electroencephalography (EEG) can be useful for rehabilitation and the control of external devices. Five grasping tasks were decoded for motor execution (ME) and motor imagery (MI). During this experiment, eight healthy subjects were asked to imagine and grasp five objects. Analysis of EEG signals was performed after detecting muscle signals on electromyograms (EMG) with a time interval selection technique on data taken from these ME and MI experiments. By refining only data corresponding to the exact time when the users performed the motor intention, the proposed method can train the decoding model using only the EEG data generated by various motor intentions with strong correlation with a specific class. There was an accuracy of 70.73% for ME and 47.95% for MI for the five offline tasks. This method may be applied to future applications, such as controlling robot hands with BCIs.</t>
  </si>
  <si>
    <t>[Cho, Jeong-Hyun; Kwon, Byoung-Hee; Lee, Byeong-Hoo] Korea Univ, Dept Brain &amp; Cognit Engn, Seoul, South Korea</t>
  </si>
  <si>
    <t>Korea University</t>
  </si>
  <si>
    <t>jh_cho@korea.ac.kr; bh_kwon@korea.ac.kr; bh_lee@korea.ac.kr</t>
  </si>
  <si>
    <t>10.1109/BCI57258.2023.10078687</t>
  </si>
  <si>
    <t>WOS:000982525300048</t>
  </si>
  <si>
    <t>Xu, BG; Li, WL; He, XH; Wei, ZW; Zhang, DL; Wu, CC; Song, AG</t>
  </si>
  <si>
    <t>Xu, Baoguo; Li, Wenlong; He, Xiaohang; Wei, Zhiwei; Zhang, Dalin; Wu, Changcheng; Song, Aiguo</t>
  </si>
  <si>
    <t>Motor Imagery Based Continuous Teleoperation Robot Control with Tactile Feedback</t>
  </si>
  <si>
    <t>ELECTRONICS</t>
  </si>
  <si>
    <t>brain computer interface; motor imagery; continuous teleoperation robot control; vibrotactile feedback</t>
  </si>
  <si>
    <t>BRAIN-COMPUTER-INTERFACE; EEG; MOVEMENT; VISION; ARM</t>
  </si>
  <si>
    <t>Brain computer interface (BCI) adopts human brain signals to control external devices directly without using normal neural pathway. Recent study has explored many applications, such as controlling a teleoperation robot by electroencephalography (EEG) signals. However, utilizing the motor imagery EEG-based BCI to perform teleoperation for reach and grasp task still has many difficulties, especially in continuous multidimensional control of robot and tactile feedback. In this research, a motor imagery EEG-based continuous teleoperation robot control system with tactile feedback was proposed. Firstly, mental imagination of different hand movements was translated into continuous command to control the remote robotic arm to reach the hover area of the target through a wireless local area network (LAN). Then, the robotic arm automatically completed the task of grasping the target. Meanwhile, the tactile information of remote robotic gripper was detected and converted to the feedback command. Finally, the vibrotactile stimulus was supplied to users to improve their telepresence. Experimental results demonstrate the feasibility of using the motor imagery EEG acquired by wireless portable equipment to realize the continuous teleoperation robot control system to finish the reach and grasp task. The average two-dimensional continuous control success rates for online Task 1 and Task 2 of the six subjects were 78.0% +/- 6.1% and 66.2% +/- 6.0%, respectively. Furthermore, compared with the traditional EEG triggered robot control using the predefined trajectory, the continuous fully two-dimensional control can not only improve the teleoperation robot system's efficiency but also give the subject a more natural control which is critical to human-machine interaction (HMI). In addition, vibrotactile stimulus can improve the operator's telepresence and task performance.</t>
  </si>
  <si>
    <t>[Xu, Baoguo; Li, Wenlong; He, Xiaohang; Wei, Zhiwei; Zhang, Dalin; Song, Aiguo] Southeast Univ, Sch Instrument Sci &amp; Engn, Nanjing 210096, Peoples R China; [Wu, Changcheng] Nanjing Univ Aeronaut &amp; Astronaut, Coll Automat Engn, Nanjing 210003, Peoples R China</t>
  </si>
  <si>
    <t>Southeast University - China; Nanjing University of Aeronautics &amp; Astronautics</t>
  </si>
  <si>
    <t>Xu, BG (corresponding author), Southeast Univ, Sch Instrument Sci &amp; Engn, Nanjing 210096, Peoples R China.</t>
  </si>
  <si>
    <t>xubaoguo@seu.edu.cn; zzuliwenlong@126.com; hxhseu@126.com; wswzw1993@163.com; zhangdalin@163.com; changchengwu@nuaa.edu.cn; a.g.song@seu.edu.cn</t>
  </si>
  <si>
    <t>Song, Aiguo/KIB-3075-2024; Li, Wenlong/ABO-3818-2022</t>
  </si>
  <si>
    <t>Song, Aiguo/0000-0002-1982-6780; Xu, Baoguo/0000-0003-0735-1498;</t>
  </si>
  <si>
    <t>10.3390/electronics9010174</t>
  </si>
  <si>
    <t>Computer Science; Engineering; Physics</t>
  </si>
  <si>
    <t>WOS:000516827000174</t>
  </si>
  <si>
    <t>Newman, GI; Ying, SH; Choi, YS; Kim, HN; Presacco, A; Kothare, MV; Thakor, NV</t>
  </si>
  <si>
    <t>Herold, KE; Bentley, WE; Vossoughi, J</t>
  </si>
  <si>
    <t>Newman, G. I.; Ying, S. H.; Choi, Y. -S.; Kim, H. -N.; Presacco, A.; Kothare, M. V.; Thakor, N. V.</t>
  </si>
  <si>
    <t>Brain Computer Interface in Cerebellar Ataxia</t>
  </si>
  <si>
    <t>26TH SOUTHERN BIOMEDICAL ENGINEERING CONFERENCE: SBEC 2010</t>
  </si>
  <si>
    <t>IFMBE Proceedings</t>
  </si>
  <si>
    <t>BCI; Ataxia; EEG</t>
  </si>
  <si>
    <t>In healthy humans, the cortical brain rhythm (or electroencephalogram, EEG), shows specific mu (similar to 8-12 Hz) and beta (similar to 16-24 Hz) band patterns in the cases of both real and imaginary motor movements. As cerebellar ataxia is associated with impairment of precise motor movement control as well as motor imagery, ataxia is an ideal model system in which to study the role of the cerebellocortical circuit in rhythm control. We hypothesize that the EEG characteristics of ataxic patients differ from those of controls during the performance of a Brain-Computer Interface (BCI) task. EEGs were recorded from four patients with cerebellar ataxia and six healthy controls. Subjects were cued to imagine relaxation or motor movement, while an EEG-based BCI translated motor intention into a visual feedback signal through real-time detection of motor imagery states. Ataxia and control subjects showed a similar distribution of mu power during cued relaxation. During cued motor imagery, however, the ataxia group showed significant spatial distribution of the response, while the control group showed the expected decrease in mu-band power (localized to the motor cortex). This pilot study suggests that impairment of the cerebellocortical control network is associated with spatial spreading of the normal event-related synchronization of motor cortical areas during relaxation. The mechanism of this association, whether degenerative or compensatory, bears further investigation. Use of BCI has important implications for our basic understanding of motor imagery and control, as well as clinical development of brain-computer interface as an assistive or rehabilitative technology.</t>
  </si>
  <si>
    <t>[Newman, G. I.; Choi, Y. -S.; Presacco, A.; Thakor, N. V.] Johns Hopkins Univ, Sch Med, Dept Biomed Engn, Baltimore, MD 21218 USA; [Ying, S. H.; Thakor, N. V.] Johns Hopkins Univ, Sch Med, Dept Neurol, Baltimore, MD 21218 USA; [Ying, S. H.] Johns Hopkins Univ, Sch Med, Dept Ophthalmol, Baltimore, MD 21218 USA; [Kothare, M. V.] Lehigh Univ, Chem Engn, Bethlehem, PA 18015 USA; [Kim, H. -N.] Pusan Natl Univ, Elect &amp; Elect Engn, Busan, South Korea</t>
  </si>
  <si>
    <t>Johns Hopkins University; Johns Hopkins University; Johns Hopkins University; Lehigh University; Pusan National University</t>
  </si>
  <si>
    <t>Newman, GI (corresponding author), Johns Hopkins Univ, Sch Med, Dept Biomed Engn, Baltimore, MD 21218 USA.</t>
  </si>
  <si>
    <t>Thakor, Nitish/G-9110-2015; Thakor, Nitish/A-5878-2008</t>
  </si>
  <si>
    <t>Thakor, Nitish/0000-0002-9981-9395;</t>
  </si>
  <si>
    <t>+</t>
  </si>
  <si>
    <t>WOS:000307744700074</t>
  </si>
  <si>
    <t>Liu, J; Wu, XP; Zhang, L; Zhou, BY</t>
  </si>
  <si>
    <t>Ren, J; Hussain, A; Zheng, J; Liu, CL; Luo, B; Zhao, H; Zhao, X</t>
  </si>
  <si>
    <t>Liu, Jin; Wu, Xiaopei; Zhang, Lei; Zhou, Bangyan</t>
  </si>
  <si>
    <t>A Hybrid Brain-Computer Interface System Based on Motor Imageries and Eye-Blinking</t>
  </si>
  <si>
    <t>ADVANCES IN BRAIN INSPIRED COGNITIVE SYSTEMS, BICS 2018</t>
  </si>
  <si>
    <t>BCI; EEG; Asynchronous control; EOG; ICA</t>
  </si>
  <si>
    <t>EEG; P300; CLASSIFICATION; SELECTION; SSVEP; ICA</t>
  </si>
  <si>
    <t>This paper focuses on the online implementation of a hybrid brain computer interface (BCI) involving electroculogram (EOG) and electroencephalogram (EEG) of motor imagery (MI). The hybrid BCI system comprises of modules of eye-blinking detection, ICA spatial filter, zero-training classifier and cursor movement controlling. Eye-blinking information contained in EOG signal was achieved for locating EEG segments related to motor imageries. Then, independent component analysis (ICA) was applied to the filtered EEG data to yield the motor-related potentials, whose features were fed into a zerotraining classifier. Finally, the classification results regarding the types of moving imagination were transferred into commands to control the cursor moving along a predesigned path shown on the computer screen. Four subjects attended the online BCI tests, the average moving accuracy reached 84.56% for all tests, and the response time was about 4.13 trials/min. The experimental results demonstrate that the hybrid MIBCI system in this study is feasible for the real-time control of peripheral devices.</t>
  </si>
  <si>
    <t>[Liu, Jin; Wu, Xiaopei; Zhang, Lei; Zhou, Bangyan] Anhui Univ, Minist Educ, Key Lab Intelligent Comp &amp; Signal Proc, Hefei, Peoples R China; [Liu, Jin; Wu, Xiaopei; Zhang, Lei; Zhou, Bangyan] Anhui Univ, Sch Comp Sci &amp; Technol, Hefei, Peoples R China</t>
  </si>
  <si>
    <t>Anhui University; Anhui University</t>
  </si>
  <si>
    <t>Wu, XP (corresponding author), Anhui Univ, Minist Educ, Key Lab Intelligent Comp &amp; Signal Proc, Hefei, Peoples R China.;Wu, XP (corresponding author), Anhui Univ, Sch Comp Sci &amp; Technol, Hefei, Peoples R China.</t>
  </si>
  <si>
    <t>wxp2001@ahu.edu.cn</t>
  </si>
  <si>
    <t>10.1007/978-3-030-00563-4_20</t>
  </si>
  <si>
    <t>Computer Science; Neurosciences &amp; Neurology; Imaging Science &amp; Photographic Technology</t>
  </si>
  <si>
    <t>WOS:000865938200020</t>
  </si>
  <si>
    <t>Aljalal, M; Djemal, R; AlSharabi, K; Ibrahim, S</t>
  </si>
  <si>
    <t>Aljalal, Majid; Djemal, Ridha; AlSharabi, Khalil; Ibrahim, Sutrisno</t>
  </si>
  <si>
    <t>Feature Extraction of EEG based Motor Imagery Using CSP based on Logarithmic Band Power, Entropy and Energy</t>
  </si>
  <si>
    <t>2018 1ST INTERNATIONAL CONFERENCE ON COMPUTER APPLICATIONS &amp; INFORMATION SECURITY (ICCAIS' 2018)</t>
  </si>
  <si>
    <t>artificial neural network; band power; brain-computer interface; common spatial pattern; energy; entropy; motor imagery; linear discriminant analysis; support vector machines</t>
  </si>
  <si>
    <t>BRAIN-COMPUTER INTERFACES; MACHINES</t>
  </si>
  <si>
    <t>One of the most important applications of brain-computer interface (BCI) is assisting disabled people to control an external device by using motor imagery (MI). We focused in this paper on the classification of two types of MI tasks (left-hand x right-hand and right-hand x foot) in the electroencephalogram (EEG) signal. We compare various feature extraction techniques by combining common spatial pattern (CSP) with several features: variance, energy, entropy and logarithmic band power (LBP). Three types of classifiers were employed for classification: linear discriminant analysis (LDA), support vector machines (SVM) and artificial neural network (ANN). We tested our proposed method using data recorded from 17 subjects, provided by BCI-Competition III and IV. The results show that features extracted using a combination of CSP and LBP produce highest classification accuracy. LDA is more suitable than other classifiers to classify features extracted using CSP and LBP.</t>
  </si>
  <si>
    <t>[Aljalal, Majid; Djemal, Ridha; AlSharabi, Khalil; Ibrahim, Sutrisno] King Saud Univ, Coll Engn, Elect Engn Dept, POB 800, Riyadh 11421, Saudi Arabia</t>
  </si>
  <si>
    <t>King Saud University</t>
  </si>
  <si>
    <t>Aljalal, M (corresponding author), King Saud Univ, Coll Engn, Elect Engn Dept, POB 800, Riyadh 11421, Saudi Arabia.</t>
  </si>
  <si>
    <t>algalalmajid@hotmail.com; rdjemal@ksu.edu.sa; kabdulghani@ksu.edu.sa; suibrahim@ksu.edu.sa</t>
  </si>
  <si>
    <t>; AlSharabi, khalil/GQQ-8931-2022; Aljalal, Majid/HLW-6779-2023</t>
  </si>
  <si>
    <t>Aljalal, Majid/0000-0002-2694-3440; Ibrahim, Sutrisno/0000-0003-1298-4206; AlSharabi, Khalil/0000-0001-7960-5819</t>
  </si>
  <si>
    <t>WOS:000493071300056</t>
  </si>
  <si>
    <t>Feng, ZQ; He, QH; Zhang, JN; Wang, L; Zhu, XJ; Qiu, MG</t>
  </si>
  <si>
    <t>Feng, Zhengquan; He, Qinghua; Zhang, Jingna; Wang, Li; Zhu, Xinjian; Qiu, Mingguo</t>
  </si>
  <si>
    <t>A hybrid BCI system based on motor imagery and transient visual evoked potential</t>
  </si>
  <si>
    <t>MULTIMEDIA TOOLS AND APPLICATIONS</t>
  </si>
  <si>
    <t>Transient visual evoked; Brain-computer interface; EEG; Motor imagination</t>
  </si>
  <si>
    <t>MENTAL PRACTICE; STROKE; RECOVERY; P300</t>
  </si>
  <si>
    <t>Motion imaging (MI) refers to the psychological realization of motions without movement or muscle activity; the basis of neural rehabilitation as a brain-computer interface (BCI) technique has been extensively studied. The combination of motor imaging and brain-computer interface technology can take advantage of patients' willingness to take the initiative to assist them in rehabilitation. Studies have shown that MI combined with BCI rehabilitation training is better than traditional rehabilitation training. Transient visual evoked potentials and motor imaging constructed a hybrid BCI system. Three healthy subjects were tested. EEG signals were superimposed preprocessing according to visual stimulus superimposed frequency and motor guidance frequency respectively. Transient visual evoked EEG segmentation is used as a control signal of choice, the use of wavelet decomposition helps to extract features, and then use BP neural network recognition for classification and identification. Visual guidance, motion-oriented event-related synchronization, or desynchronization feature signals as rehabilitation exercise control signals, are using time-domain sliding energy analysis to extract features, and then using BP neural network recognition for classification and identification. EEG signals collected in the experiment were superimposed signals of transient visual evoked and motorized EEG. There were 300 transient electroencephalogram (EEG) and 100 segments Imagine EEG segmentation. According to the results of the test, the average recognition rate of visual evoked EEG reached 95.42%; the average recognition rate of motor imaginary EEG was 73.08%, but there was a large individual difference in motor imaging EEG signals except 1 Name of the test rate of 85%, the remaining two subjects were less than 70% recognition rate. There is a large individual difference between motion imaging and signal feature recognition, and it takes a long time to train. Therefore, it is necessary to study further the selection of control signals for rehabilitation training. As the threshold feedback signal, controlling the amplitude feedback of rehabilitation training can promote the motivation of participants' motivation to stimulate and enhance the rehabilitation treatment effect.</t>
  </si>
  <si>
    <t>[Feng, Zhengquan; Zhang, Jingna; Wang, Li; Qiu, Mingguo] Army Med Univ, Dept Med Image, Coll Biomed Engn, Chongqing 400038, Peoples R China; [Feng, Zhengquan; He, Qinghua; Zhu, Xinjian] Army Med Univ, Dept 5, Affiliated Hosp 3, Chongqing 400042, Peoples R China; [Feng, Zhengquan; He, Qinghua; Zhu, Xinjian] Army Med Univ, Res Inst Surg, Chongqing 400042, Peoples R China</t>
  </si>
  <si>
    <t>Army Medical University; Army Medical University; Army Medical University</t>
  </si>
  <si>
    <t>Qiu, MG (corresponding author), Army Med Univ, Dept Med Image, Coll Biomed Engn, Chongqing 400038, Peoples R China.</t>
  </si>
  <si>
    <t>qiumg_2002@126.com</t>
  </si>
  <si>
    <t>APR</t>
  </si>
  <si>
    <t>15-16</t>
  </si>
  <si>
    <t>10.1007/s11042-019-7607-3</t>
  </si>
  <si>
    <t>WOS:000534781600032</t>
  </si>
  <si>
    <t>Vivek, BS; Adarsh, A; Gubbi, J; Muralidharan, K; Ramakrishnan, RK; Pal, A</t>
  </si>
  <si>
    <t>Vivek, B. S.; Adarsh, A.; Gubbi, J.; Muralidharan, Kartik; Ramakrishnan, Ramesh Kumar; Pal, Arpan</t>
  </si>
  <si>
    <t>ST-GNN for EEG Motor Imagery Classification</t>
  </si>
  <si>
    <t>2022 IEEE-EMBS INTERNATIONAL CONFERENCE ON BIOMEDICAL AND HEALTH INFORMATICS (BHI) JOINTLY ORGANISED WITH THE IEEE-EMBS INTERNATIONAL CONFERENCE ON WEARABLE AND IMPLANTABLE BODY SENSOR NETWORKS (BSN'22)</t>
  </si>
  <si>
    <t>Graph neural network; Motor-Imagery; EEG</t>
  </si>
  <si>
    <t>Brain-computer interface (BCI) systems play an important role in medical applications such as stroke rehabilitation and neural prosthesis. These systems aim to decode the neural activity of the human brain measured using an Electroencephalogram (EEG). In this work, we consider the task of EEG-based motor imagery (intent) classification. Motor imagery (MI) refers to the imagination of the limb movement in the brain without actual action. Classification of motor imagery forms the basis for BCI-based prosthetic control. Existing approaches either use handcrafted features or features extracted from a deep neural network to interpret EEG-based MI. However, majority of the existing works fail to harness the functional connectivity within the brain that is captured using multiple EEG channels. In our work, we represent the input EEG signal as a graph where the nodes represent the EEG channels. The proposed approach uses a graph representation with a trainable weighted adjacency matrix to learn the optimal connectivity between nodes. Spatio-temporal features of the EEG signal are extracted via the proposed model that consists of a temporal convolution module and a graph convolution network. Experimental results and ablation study highlight the effectiveness of the proposed approach on the PhysioNet EEG motor movement and imagery dataset (EEG-MMIDB).</t>
  </si>
  <si>
    <t>[Vivek, B. S.; Adarsh, A.; Gubbi, J.; Muralidharan, Kartik; Ramakrishnan, Ramesh Kumar; Pal, Arpan] TCS Res, Bengaluru, Karnataka, India</t>
  </si>
  <si>
    <t>Vivek, BS (corresponding author), TCS Res, Bengaluru, Karnataka, India.</t>
  </si>
  <si>
    <t>Pal, Arpan/I-1457-2013</t>
  </si>
  <si>
    <t>10.1109/BHI56158.2022.9926806</t>
  </si>
  <si>
    <t>Computer Science; Medical Informatics</t>
  </si>
  <si>
    <t>WOS:000895865900022</t>
  </si>
  <si>
    <t>Alonso-Valerdi, LM; Sepulveda, F; Ramírez-Mendoza, RA</t>
  </si>
  <si>
    <t>Maria Alonso-Valerdi, Luz; Sepulveda, Francisco; Ramirez-Mendoza, Ricardo A.</t>
  </si>
  <si>
    <t>Perception and Cognition of Cues Used in Synchronous Brain-Computer Interfaces Modify Electroencephalographic Patterns of Control Tasks</t>
  </si>
  <si>
    <t>FRONTIERS IN HUMAN NEUROSCIENCE</t>
  </si>
  <si>
    <t>brain-computer interface; motor imagery; classification accuracy; electroencephalographic patterns; human factors</t>
  </si>
  <si>
    <t>SINGLE-TRIAL EEG; MOTOR IMAGERY; CLASSIFICATION; RHYTHMS; COMMUNICATION; OSCILLATIONS</t>
  </si>
  <si>
    <t>A motor imagery (MI)-based brain-computer interface (BCI) is a system that enables humans to interact with their environment by translating their brain signals into control commands for a target device. In particular, synchronous BCI systems make use of cues to trigger the motor activity of interest. So far, it has been shown that electroencephalographic (EEG) patterns before and after cue onset can reveal the user cognitive state and enhance the discrimination of MI-related control tasks. However, there has been no detailed investigation of the nature of those EEG patterns. We, therefore, propose to study the cue effects on MI-related control tasks by selecting EEG patterns that best discriminate such control tasks, and analyzing where those patterns are coming from. The study was carried out using two methods: standard and all-embracing. The standard method was based on sources (recording sites, frequency bands, and time windows), where the modulation of EEG signals due to motor activity is typically detected. The all-embracing method included a wider variety of sources, where not only motor activity is reflected. The findings of this study showed that the classification accuracy (CA) of MI-related control tasks did not depend on the type of cue in use. However, EEG patterns that best differentiated those control tasks emerged from sources well defined by the perception and cognition of the cue in use. An implication of this study is the possibility of obtaining different control commands that could be detected with the same accuracy. Since different cues trigger control tasks that yield similar CAs, and those control tasks produce EEG patterns differentiated by the cue nature, this leads to accelerate the brain-computer communication by having a wider variety of detectable control commands. This is an important issue for Neuroergonomics research because neural activity could not only be used to monitor the human mental state as is typically done, but this activity might be also employed to control the system of interest.</t>
  </si>
  <si>
    <t>[Maria Alonso-Valerdi, Luz; Sepulveda, Francisco] Univ Essex, Sch Comp Sci &amp; Elect Engn, BCI Grp, Colchester CO4 3SQ, Essex, England; [Maria Alonso-Valerdi, Luz; Ramirez-Mendoza, Ricardo A.] Tecnol Monterrey, Escuela Ingn &amp; Ciencias, Mexico City, DF, Mexico</t>
  </si>
  <si>
    <t>University of Essex; Tecnologico de Monterrey</t>
  </si>
  <si>
    <t>Alonso-Valerdi, LM (corresponding author), Univ Essex, Sch Comp Sci &amp; Elect Engn, BCI Grp, Colchester CO4 3SQ, Essex, England.</t>
  </si>
  <si>
    <t>luzalonsoval@gmail.com</t>
  </si>
  <si>
    <t>Ramirez-Mendoza, Ricardo/I-4584-2015</t>
  </si>
  <si>
    <t>Ramirez-Mendoza, Ricardo A/0000-0002-5122-507X; Alonso Valerdi, Luz Maria/0000-0002-2256-2958</t>
  </si>
  <si>
    <t>NOV 23</t>
  </si>
  <si>
    <t>10.3389/fnhum.2015.00636</t>
  </si>
  <si>
    <t>Neurosciences &amp; Neurology; Psychology</t>
  </si>
  <si>
    <t>WOS:000366567200001</t>
  </si>
  <si>
    <t>Bai, O; Huang, DD; Fei, DY; Kunz, R</t>
  </si>
  <si>
    <t>Bai, Ou; Huang, Dandan; Fei, Ding-Yu; Kunz, Richard</t>
  </si>
  <si>
    <t>Effect of real-time cortical feedback in motor imagery-based mental practice training</t>
  </si>
  <si>
    <t>NEUROREHABILITATION</t>
  </si>
  <si>
    <t>Motor imagery; mental practice; motor control; electroencephalography (EEG); brain-computer interface (BCI); event-related desynchronization (ERD)</t>
  </si>
  <si>
    <t>INDUCED MOVEMENT THERAPY; BRAIN-COMPUTER-INTERFACE; UPPER-LIMB FUNCTION; CORTEX EXCITABILITY; BETA-RHYTHM; CORTICOSPINAL EXCITABILITY; STROKE; REHABILITATION; MODULATION; DESYNCHRONIZATION</t>
  </si>
  <si>
    <t>BACKGROUND: Mental practice using motor imagery of limb movement may facilitate motor recovery in persons who have experienced cerebrovascular accident (CVA). However, the lack of a feedback mechanism that can monitor the quality of the motor imagery affects patients' engagement and motivation to participate in the mental practice training program. OBJECTIVE: This study investigates the effect of novel real-time motor imagery-associated cortical activity feedback on motor imagery-based mental practice training. METHODS: Ten healthy volunteers were randomly assigned into intervention and control groups. Both groups participated in a five-visit motor imagery-based mental practice training program managed over a period of two months. The intervention group received mental practice training with real-time feedback of movement-associated cortical activity-beta band (16-28 Hz) event-related desynchronization (ERD) in electroencephalography (EEG), using a novel custom-made brain-computer interface (BCI) system. The control group received the mental practice training program without EEG cortical feedback. Motor excitability was assessed by measuring the frequency power magnitude of the EEG rhythmic activity associated with physical execution of wrist extension before and after the motor imagery-based mental practice training. RESULTS: The EEG frequency power magnitude associated with the physical execution of wrist extension was significantly lower (i.e. more desynchronized) after the mental practice training in the intervention group that received real-time cortical feedback (P &lt; 0.05), whereas no significant difference in EEG frequency power magnitude associated with the physical execution of wrist extension was observed before and after mental practice training in the control group who did not receive feedback. CONCLUSIONS: The mental practice training program with motor imagery-associated cortical feedback facilitated motor excitability during the production of voluntary motor control. Motor imagery-based mental practice training with movement-associated cortical activity feedback may provide an effective strategy to facilitate motor recovery in brain injury patients, particularly during the early rehabilitation stage when full participation in physical and occupational therapy programs may not be possible due to excessive motor weakness.</t>
  </si>
  <si>
    <t>[Bai, Ou; Huang, Dandan; Fei, Ding-Yu] Virginia Commonwealth Univ, Dept Biomed Engn, EEG &amp; BCI Lab, Richmond, VA 23284 USA; [Kunz, Richard] Virginia Commonwealth Univ, Dept Phys Med &amp; Rehabil, Richmond, VA 23284 USA</t>
  </si>
  <si>
    <t>Virginia Commonwealth University; Virginia Commonwealth University</t>
  </si>
  <si>
    <t>Bai, O (corresponding author), Virginia Commonwealth Univ, Dept Biomed Engn, EEG &amp; BCI Lab, 401 West Main St,Room 1252,POB 843067, Richmond, VA 23284 USA.</t>
  </si>
  <si>
    <t>obai@vcu.edu</t>
  </si>
  <si>
    <t>Bai, Ou/0000-0002-0040-6807</t>
  </si>
  <si>
    <t>10.3233/NRE-131039</t>
  </si>
  <si>
    <t>Neurosciences &amp; Neurology; Rehabilitation</t>
  </si>
  <si>
    <t>WOS:000335326300017</t>
  </si>
  <si>
    <t>S</t>
  </si>
  <si>
    <t>Neuper, C; Müller-Putz, GR; Scherer, R; Pfurtscheller, G</t>
  </si>
  <si>
    <t>Neuper, C; Klimesch, W</t>
  </si>
  <si>
    <t>Neuper, Christa; Mueller-Putz, Gernot R.; Scherer, Reinhold; Pfurtscheller, Gert</t>
  </si>
  <si>
    <t>Motor imagery and EEG-based control of spelling devices and neuroprostheses</t>
  </si>
  <si>
    <t>EVENT-RELATED DYNAMICS OF BRAIN OSCILLATIONS</t>
  </si>
  <si>
    <t>Progress in Brain Research</t>
  </si>
  <si>
    <t>Review</t>
  </si>
  <si>
    <t>brain-computer interface (BCI); motor imagery; sensorimotor rhythm event-related; desynchronization (ERD); event-related synchronization (ERS); neuroprosthesis; virtual keyboard</t>
  </si>
  <si>
    <t>BRAIN-COMPUTER INTERFACE; FUNCTIONAL ELECTRICAL-STIMULATION; HAND GRASP; VIRTUAL KEYBOARD; MU-RHYTHMS; ACTIVATION; SYNCHRONIZATION; CLASSIFICATION; COMMUNICATION; MOVEMENTS</t>
  </si>
  <si>
    <t>A brain-computer interface (BCI) transforms signals originating from the human brain into commands that can control devices or applications. With this, a BCI provides a new non-muscular communication channel, which can be used to assist patients who have highly compromised motor functions. The Graz-BCI uses motor imagery and associated oscillatory EEG signals from the sensorimotor cortex for device control. As a result of research in the past 15 years, the classification of ERD/ERS patterns in single EEG trials during motor execution and motor imagery forms the basis of this sensorimotor-rhythm controlled BCI. The major frequency bands of cortical oscillations considered here are the 8-13 and 15-30 Hz bands. This chapter describes the basic methods used in Graz-BCI research and outlines possible clinical applications.</t>
  </si>
  <si>
    <t>Graz Univ, Inst Psychol, A-8010 Graz, Austria; Graz Univ Technol, Lab Brain Comp Interfaces, Inst Knowledge Discovery, A-8010 Graz, Austria</t>
  </si>
  <si>
    <t>University of Graz; Graz University of Technology</t>
  </si>
  <si>
    <t>Neuper, C (corresponding author), Graz Univ, Inst Psychol, Universitatspl 2-3, A-8010 Graz, Austria.</t>
  </si>
  <si>
    <t>christa.neuper@uni-graz.at</t>
  </si>
  <si>
    <t>Scherer, Reinhold/0000-0003-3407-9709; Muller-Putz, Gernot/0000-0002-0087-3720</t>
  </si>
  <si>
    <t>10.1016/S0079-6123(06)59025-9</t>
  </si>
  <si>
    <t>WOS:000247003900025</t>
  </si>
  <si>
    <t>Saichoo, T; Boonbrahm, P; Punsawad, Y</t>
  </si>
  <si>
    <t>Saichoo, Theerat; Boonbrahm, Poonpong; Punsawad, Yunyong</t>
  </si>
  <si>
    <t>Investigating User Proficiency of Motor Imagery for EEG-Based BCI System to Control Simulated Wheelchair</t>
  </si>
  <si>
    <t>brain-computer interface; brain-controlled wheelchair; electroencephalography; alpha power; motor imagery; EEG neuroheadset</t>
  </si>
  <si>
    <t>(DE)SYNCHRONIZATION ERD/ERS; COMPUTER INTERFACES; BRAIN</t>
  </si>
  <si>
    <t>The research on the electroencephalography (EEG)-based brain-computer interface (BCI) is widely utilized for wheelchair control. The ability of the user is one factor of BCI efficiency. Therefore, we focused on BCI tasks and protocols to yield high efficiency from the robust EEG features of individual users. This study proposes a task-based brain activity to gain the power of the alpha band, which included eyes closed for alpha response at the occipital area, attention to an upward arrow for alpha response at the frontal area, and an imagined left/right motor for alpha event-related desynchronization at the left/right motor cortex. An EPOC X neuroheadset was used to acquire the EEG signals. We also proposed user proficiency in motor imagery sessions with limb movement paradigms by recommending motor imagination tasks. Using the proposed system, we verified the feature extraction algorithms and command translation. Twelve volunteers participated in the experiment, and the conventional paradigm of motor imagery was used to compare the efficiencies. With utilized user proficiency in motor imagery, an average accuracy of 83.7% across the left and right commands was achieved. The recommended MI paradigm via user proficiency achieved an approximately 4% higher accuracy than the conventional MI paradigm. Moreover, the real-time control results of a simulated wheelchair revealed a high efficiency based on the time condition. The time results for the same task as the joystick-based control were still approximately three times longer. We suggest that user proficiency be used to recommend an individual MI paradigm for beginners. Furthermore, the proposed BCI system can be used for electric wheelchair control by people with severe disabilities.</t>
  </si>
  <si>
    <t>[Saichoo, Theerat; Boonbrahm, Poonpong; Punsawad, Yunyong] Walailak Univ, Sch Informat, Nakhon Si Thammarat 80160, Thailand; [Punsawad, Yunyong] Walailak Univ, Informat Innovat Ctr Excellence, Nakhon Si Thammarat 80160, Thailand</t>
  </si>
  <si>
    <t>Walailak University; Walailak University</t>
  </si>
  <si>
    <t>Punsawad, Y (corresponding author), Walailak Univ, Sch Informat, Nakhon Si Thammarat 80160, Thailand.;Punsawad, Y (corresponding author), Walailak Univ, Informat Innovat Ctr Excellence, Nakhon Si Thammarat 80160, Thailand.</t>
  </si>
  <si>
    <t>yunyong.pu@wu.ac.th</t>
  </si>
  <si>
    <t>Punsawad, Yunyong/AAA-4690-2020</t>
  </si>
  <si>
    <t>Saichoo, Theerat/0000-0001-7165-7526; Punsawad, Yunyong/0000-0002-6994-9682</t>
  </si>
  <si>
    <t>10.3390/s22249788</t>
  </si>
  <si>
    <t>WOS:000902761900001</t>
  </si>
  <si>
    <t>Miah, AM; Rahim, MA; Shin, J</t>
  </si>
  <si>
    <t>Miah, Abu Saleh Musa; Rahim, Md Abdur; Shin, Jungpil</t>
  </si>
  <si>
    <t>Motor-Imagery Classification Using Riemannian Geometry with Median Absolute Deviation</t>
  </si>
  <si>
    <t>brain-computer interface; electroencephalogram (EEG); motor imagery; Riemannian geometry; median absolute deviation; linear discriminant analysis</t>
  </si>
  <si>
    <t>BRAIN-COMPUTER INTERFACES; COVARIANCE MATRICES; SPATIAL-PATTERNS; EEG</t>
  </si>
  <si>
    <t>Motor imagery (MI) from human brain signals can diagnose or aid specific physical activities for rehabilitation, recreation, device control, and technology assistance. It is a dynamic state in learning and practicing movement tracking when a person mentally imitates physical activity. Recently, it has been determined that a brain-computer interface (BCI) can support this kind of neurological rehabilitation or mental practice of action. In this context, MI data have been captured via non-invasive electroencephalogram (EEGs), and EEG-based BCIs are expected to become clinically and recreationally ground-breaking technology. However, determining a set of efficient and relevant features for the classification step was a challenge. In this paper, we specifically focus on feature extraction, feature selection, and classification strategies based on MI-EEG data. In an MI-based BCI domain, covariance metrics can play important roles in extracting discriminatory features from EEG datasets. To explore efficient and discriminatory features for the enhancement of MI classification, we introduced a median absolute deviation (MAD) strategy that calculates the average sample covariance matrices (SCMs) to select optimal accurate reference metrics in a tangent space mapping (TSM)-based MI-EEG. Furthermore, all data from SCM were projected using TSM according to the reference matrix that represents the featured vector. To increase performance, we reduced the dimensions and selected an optimum number of features using principal component analysis (PCA) along with an analysis of variance (ANOVA) that could classify MI tasks. Then, the selected features were used to develop linear discriminant analysis (LDA) training for classification. The benchmark datasets were considered for the evaluation and the results show that it provides better accuracy than more sophisticated methods.</t>
  </si>
  <si>
    <t>[Miah, Abu Saleh Musa] Bangladesh Army Univ Sci &amp; Technol, Saidpur 5311, Bangladesh; [Rahim, Md Abdur; Shin, Jungpil] Univ Aizu, Sch Comp Sci &amp; Engn, Aizu Wakamatsu, Fukushima 9658580, Japan</t>
  </si>
  <si>
    <t>University of Aizu</t>
  </si>
  <si>
    <t>Shin, J (corresponding author), Univ Aizu, Sch Comp Sci &amp; Engn, Aizu Wakamatsu, Fukushima 9658580, Japan.</t>
  </si>
  <si>
    <t>abusalehcse.ru@gmail.com; rahim_bds@yahoo.com; jpshin@u-aizu.ac.jp</t>
  </si>
  <si>
    <t>; Miah, Abu Saleh Musa/IAQ-1066-2023; Rahim, Abdur/X-3408-2019</t>
  </si>
  <si>
    <t>Musa Miah, Abu Saleh/0000-0002-1238-0464; SHIN, Jungpil/0000-0002-7476-2468; Rahim, Dr. Md Abdur/0000-0003-2300-1420</t>
  </si>
  <si>
    <t>OCT</t>
  </si>
  <si>
    <t>10.3390/electronics9101584</t>
  </si>
  <si>
    <t>WOS:000586144400001</t>
  </si>
  <si>
    <t>Chen, L; Zhang, DZ; Wang, K; Xu, MP; Ming, D</t>
  </si>
  <si>
    <t>Chen, Long; Zhang, Dingze; Wang, Kun; Xu, Minpeng; Ming, Dong</t>
  </si>
  <si>
    <t>Research Progress on the Coding and Decoding of Scalp Electroencephalogram Induced by Movement Intention and Brain-Computer Interface</t>
  </si>
  <si>
    <t>JOURNAL OF ELECTRONICS &amp; INFORMATION TECHNOLOGY</t>
  </si>
  <si>
    <t>Brain-Computer Interface (BCI); ElectroEncephaloGram (EEG); Movement intention; Fine motor control; Clinical rehabilitation</t>
  </si>
  <si>
    <t>MOTOR IMAGERY; HAND; EEG; ACTIVATION; DIRECTION; RECOVERY; FORCE</t>
  </si>
  <si>
    <t>Movement intention based Brain-Computer Interfaces (BCIs) have important research significance and application value in motor enhancement, replacement and rehabilitation. Among them, Motor Imagery (MI) is the most commonly used BCI paradigm to represent motor intention. However, traditional MI-BCIs usually focus on the recognition of the intention of different limbs, and the classification accuracies are relatively low, which restricts fine motor control and rehabilitation. To solve the above problems, in recent years, researchers have carried out a series of meaningful explorations in coding and decoding of scalp ElectroEncephaloGram (EEG) from three aspects: specific parts of a single limb movement intention, kinematic and kinetics intention, and mismatch between movement and expectation. On the basis of the above research, some typical applications to high freedom motor control and stroke rehabilitation have been developed. The research progress in this field from the related paradigms of scalp EEG coding and decoding of motor intention and its BCI application is reviewed. Besides, the existing challenges and possible solutions are discussed, considering to promote the in-depth research and application of motor intention based BCIs.</t>
  </si>
  <si>
    <t>[Chen, Long; Zhang, Dingze; Wang, Kun; Xu, Minpeng; Ming, Dong] Tianjin Univ, Acad Med Engn &amp; Translat Med, Tianjin 300072, Peoples R China; [Xu, Minpeng; Ming, Dong] Tianjin Univ, Sch Precis Instrument &amp; Optoelect Engn, Tianjin 200072, Peoples R China</t>
  </si>
  <si>
    <t>Tianjin University; Tianjin University</t>
  </si>
  <si>
    <t>Wang, K (corresponding author), Tianjin Univ, Acad Med Engn &amp; Translat Med, Tianjin 300072, Peoples R China.</t>
  </si>
  <si>
    <t>flora_wk@tju.edu.cn</t>
  </si>
  <si>
    <t>Ming, Dong/G-8786-2011</t>
  </si>
  <si>
    <t>10.11999/JEIT221449</t>
  </si>
  <si>
    <t>WOS:001485676600003</t>
  </si>
  <si>
    <t>Sai</t>
  </si>
  <si>
    <t>https://docs.google.com/document/d/1SefkP_69TgehhnIcB56ZnnpesWmHH7BqXUyOC9iNLEc/edit?usp=sharing</t>
  </si>
  <si>
    <t>Hashimoto, Y; Ushiba, J; Kimura, A; Liu, MG; Tomita, Y</t>
  </si>
  <si>
    <t>Hashimoto, Yasunari; Ushiba, Junichi; Kimura, Akio; Liu, Meigen; Tomita, Yutaka</t>
  </si>
  <si>
    <t>Change in brain activity through virtual reality-based brain-machine communication in a chronic tetraplegic subject with muscular dystrophy</t>
  </si>
  <si>
    <t>BMC NEUROSCIENCE</t>
  </si>
  <si>
    <t>COMPUTER INTERFACE; ASYNCHRONOUS BCI; MOTOR IMAGERY; EEG; ENVIRONMENT; APARTMENT; THOUGHT</t>
  </si>
  <si>
    <t>Background: For severely paralyzed people, a brain-computer interface (BCI) provides a way of re-establishing communication. Although subjects with muscular dystrophy (MD) appear to be potential BCI users, the actual long-term effects of BCI use on brain activities in MD subjects have yet to be clarified. To investigate these effects, we followed BCI use by a chronic tetraplegic subject with MD over 5 months. The topographic changes in an electroencephalogram (EEG) after long-term use of the virtual reality (VR)-based BCI were also assessed. Our originally developed BCI system was used to classify an EEG recorded over the sensorimotor cortex in real time and estimate the user's motor intention (MI) in 3 different limb movements: feet, left hand, and right hand. An avatar in the internet-based VR was controlled in accordance with the results of the EEG classification by the BCI. The subject was trained to control his avatar via the BCI by strolling in the VR for 1 hour a day and then continued the same training twice a month at his home. Results: After the training, the error rate of the EEG classification decreased from 40% to 28%. The subject successfully walked around in the VR using only his MI and chatted with other users through a voice-chat function embedded in the internet-based VR. With this improvement in BCI control, event-related desynchronization (ERD) following MI was significantly enhanced (p &lt; 0.01) for feet MI (from -29% to -55%), left-hand MI (from -23% to -42%), and right-hand MI (from -22% to -51%). Conclusions: These results show that our subject with severe MD was able to learn to control his EEG signal and communicate with other users through use of VR navigation and suggest that an internet-based VR has the potential to provide paralyzed people with the opportunity for easy communication.</t>
  </si>
  <si>
    <t>[Hashimoto, Yasunari] Keio Univ, Sch Fundamental Sci &amp; Technol, Grad Sch Sci &amp; Technol, Kanagawa, Japan; [Ushiba, Junichi; Tomita, Yutaka] Keio Univ, Dept Biosci &amp; Informat, Fac Sci &amp; Technol, Kanagawa, Japan; [Kimura, Akio] Keio Univ, Tsukigase Rehabil Ctr, Shizuoka, Japan; [Liu, Meigen] Keio Univ, Sch Med, Dept Rehabil Med, Tokyo, Japan</t>
  </si>
  <si>
    <t>Keio University; Keio University; Keio University; Keio University</t>
  </si>
  <si>
    <t>Hashimoto, Y (corresponding author), Keio Univ, Sch Fundamental Sci &amp; Technol, Grad Sch Sci &amp; Technol, Kanagawa, Japan.</t>
  </si>
  <si>
    <t>hashimoto@bme.bio.keio.ac.jp</t>
  </si>
  <si>
    <t>Liu, Meigen/J-6883-2013; Ushiba, Junichi/C-8890-2014; Hashimoto, Yasunari/AAG-6290-2020</t>
  </si>
  <si>
    <t>Hashimoto, Yasunari/0000-0002-0042-3666;</t>
  </si>
  <si>
    <t>SEP 16</t>
  </si>
  <si>
    <t>10.1186/1471-2202-11-117</t>
  </si>
  <si>
    <t>WOS:000283243300001</t>
  </si>
  <si>
    <t>Riyad, M; Khalil, M; Adib, A</t>
  </si>
  <si>
    <t>Renault, E; Boumerdassi, S; Leghris, C; Bouzefrane, S</t>
  </si>
  <si>
    <t>Riyad, Mouad; Khalil, Mohammed; Adib, Abdellah</t>
  </si>
  <si>
    <t>Cross-Subject EEG Signal Classification with Deep Neural Networks Applied to Motor Imagery</t>
  </si>
  <si>
    <t>MOBILE, SECURE, AND PROGRAMMABLE NETWORKING</t>
  </si>
  <si>
    <t>Lecture Notes in Computer Science</t>
  </si>
  <si>
    <t>EEG; BCI; Convolutional neural network; Recurrent neural network; Hybrid network</t>
  </si>
  <si>
    <t>The Brain-Computer Interface (BCI) is a system able to serve as a mean of communication between machine and human where the brainwaves are the control signals acquired by electroencephalography (EEG). One of the most used brainwaves is the sensorimotor rhythm (SMR) which appears for real or imagined motor movement. In general, EEG signals need feature extraction methods and classification algorithms to interpret the raw signals. Deep learning approaches; however, permit the processing of the raw data without any transformation. In this paper, we present a deep learning neural network architecture to classify SMR signals due to its success for some previous works and to visualize the learned features. The architecture is composed of three parts. The first part contains a temporal convolution operation followed by a spatial convolution one. The second part contains recurrent layers. Finally, we use a dense layer to assign the signal to its class. The model is trained with Adam optimizer algorithm. Also, we use various regularization techniques such as dropout to prevent learning problem like overfitting. To evaluate the performance of the proposed architecture, the well known Dataset IIa of the BCI Competition IV is used. As a result, we get equivalent results to those ones of EEGNet.</t>
  </si>
  <si>
    <t>[Riyad, Mouad; Khalil, Mohammed; Adib, Abdellah] LIM II FSTM, Networks Telecoms &amp; Multimedia Team, BP 146, Mohammadia 20650, Morocco</t>
  </si>
  <si>
    <t>Hassan II University of Casablanca</t>
  </si>
  <si>
    <t>Riyad, M (corresponding author), LIM II FSTM, Networks Telecoms &amp; Multimedia Team, BP 146, Mohammadia 20650, Morocco.</t>
  </si>
  <si>
    <t>riyadmouad1@gmail.com; medkhalil87@gmail.com; adib@fstm.ac.ma</t>
  </si>
  <si>
    <t>ADIB, Abdellah/HTQ-2801-2023</t>
  </si>
  <si>
    <t>ADIB, Abdellah/0000-0002-0670-7221; Khalil, Mohammed/0000-0002-4211-1011</t>
  </si>
  <si>
    <t>10.1007/978-3-030-22885-9_12</t>
  </si>
  <si>
    <t>Telecommunications</t>
  </si>
  <si>
    <t>WOS:000657973700012</t>
  </si>
  <si>
    <t>Padfield, N; Camilleri, K; Camilleri, T; Fabri, S; Bugeja, M</t>
  </si>
  <si>
    <t>Padfield, Natasha; Camilleri, Kenneth; Camilleri, Tracey; Fabri, Simon; Bugeja, Marvin</t>
  </si>
  <si>
    <t>A Comprehensive Review of Endogenous EEG-Based BCIs for Dynamic Device Control</t>
  </si>
  <si>
    <t>brain-computer interface (BCI); brain-machine interface (BMI); electroencephalogram (EEG); endogenous; control; motor imagery (MI)</t>
  </si>
  <si>
    <t>BRAIN-COMPUTER-INTERFACE; OF-THE-ART; MOTOR IMAGERY; MACHINE INTERFACE; SHARED CONTROL; NEURAL-NETWORK; ROBOT; SYSTEM; EXOSKELETON; NAVIGATION</t>
  </si>
  <si>
    <t>Electroencephalogram (EEG)-based brain-computer interfaces (BCIs) provide a novel approach for controlling external devices. BCI technologies can be important enabling technologies for people with severe mobility impairment. Endogenous paradigms, which depend on user-generated commands and do not need external stimuli, can provide intuitive control of external devices. This paper discusses BCIs to control various physical devices such as exoskeletons, wheelchairs, mobile robots, and robotic arms. These technologies must be able to navigate complex environments or execute fine motor movements. Brain control of these devices presents an intricate research problem that merges signal processing and classification techniques with control theory. In particular, obtaining strong classification performance for endogenous BCIs is challenging, and EEG decoder output signals can be unstable. These issues present myriad research questions that are discussed in this review paper. This review covers papers published until the end of 2021 that presented BCI-controlled dynamic devices. It discusses the devices controlled, EEG paradigms, shared control, stabilization of the EEG signal, traditional machine learning and deep learning techniques, and user experience. The paper concludes with a discussion of open questions and avenues for future work.</t>
  </si>
  <si>
    <t>[Padfield, Natasha; Camilleri, Kenneth] Univ Malta, Ctr Biomed Cybernet, MSD-2080 Msida, Malta; [Camilleri, Kenneth; Camilleri, Tracey; Fabri, Simon; Bugeja, Marvin] Univ Malta, Dept Syst &amp; Control Engn, MSD-2080 Msida, Malta</t>
  </si>
  <si>
    <t>University of Malta; University of Malta</t>
  </si>
  <si>
    <t>Padfield, N (corresponding author), Univ Malta, Ctr Biomed Cybernet, MSD-2080 Msida, Malta.</t>
  </si>
  <si>
    <t>natasha.padfield@um.edu.mt; kenneth.camilleri@um.edu.mt; tracey.camilleri@um.edu.mt; simon.fabri@um.edu.mt; marvin.bugeja@um.edu.mt</t>
  </si>
  <si>
    <t>; Camilleri, Kenneth/AAJ-1468-2020</t>
  </si>
  <si>
    <t>Padfield, Natasha/0000-0001-5533-4807; Bugeja, Marvin/0000-0001-6632-2369; Camilleri, Kenneth/0000-0003-0436-6408</t>
  </si>
  <si>
    <t>10.3390/s22155802</t>
  </si>
  <si>
    <t>WOS:000839813700001</t>
  </si>
  <si>
    <t>Spanos, M; Gazea, T; Triantafyllidis, V; Mitsopoulos, K; Vrahatis, A; Hadjinicolaou, M; Bamidis, PD; Athanasiou, A</t>
  </si>
  <si>
    <t>Spanos, Miltiadis; Gazea, Theodora; Triantafyllidis, Vasileios; Mitsopoulos, Konstantinos; Vrahatis, Aristidis; Hadjinicolaou, Maria; Bamidis, Panagiotis D.; Athanasiou, Alkinoos</t>
  </si>
  <si>
    <t>Post Hoc Event-Related Potential Analysis of Kinesthetic Motor Imagery-Based Brain-Computer Interface Control of Anthropomorphic Robotic Arms</t>
  </si>
  <si>
    <t>brain-computer interface; cortical plasticity; electroencephalography; event-related potentials; kinesthetic motor imagery; motor imagery; sensorimotor network; spinal cord injury</t>
  </si>
  <si>
    <t>SPINAL-CORD-INJURY; COMPONENT; ERP; EEG; INDIVIDUALS; FILTERS; CORTEX; P300; WAVE; P3A</t>
  </si>
  <si>
    <t>Kinesthetic motor imagery (KMI), the mental rehearsal of a motor task without its actual performance, constitutes one of the most common techniques used for brain-computer interface (BCI) control for movement-related tasks. The effect of neural injury on motor cortical activity during execution and imagery remains under investigation in terms of activations, processing of motor onset, and BCI control. The current work aims to conduct a post hoc investigation of the event-related potential (ERP)-based processing of KMI during BCI control of anthropomorphic robotic arms by spinal cord injury (SCI) patients and healthy control participants in a completed clinical trial. For this purpose, we analyzed 14-channel electroencephalography (EEG) data from 10 patients with cervical SCI and 8 healthy individuals, recorded through Emotiv EPOC BCI, as the participants attempted to move anthropomorphic robotic arms using KMI. EEG data were pre-processed by band-pass filtering (8-30 Hz) and independent component analysis (ICA). ERPs were calculated at the sensor space, and analysis of variance (ANOVA) was used to determine potential differences between groups. Our results showed no statistically significant differences between SCI patients and healthy control groups regarding mean amplitude and latency (p &lt; 0.05) across the recorded channels at various time points during stimulus presentation. Notably, no significant differences were observed in ERP components, except for the P200 component at the T8 channel. These findings suggest that brain circuits associated with motor planning and sensorimotor processes are not disrupted due to anatomical damage following SCI. The temporal dynamics of motor-related areas-particularly in channels like F3, FC5, and F7-indicate that essential motor imagery (MI) circuits remain functional. Limitations include the relatively small sample size that may hamper the generalization of our findings, the sensor-space analysis that restricts anatomical specificity and neurophysiological interpretations, and the use of a low-density EEG headset, lacking coverage over key motor regions. Non-invasive EEG-based BCI systems for motor rehabilitation in SCI patients could effectively leverage intact neural circuits to promote neuroplasticity and facilitate motor recovery. Future work should include validation against larger, longitudinal, high-density, source-space EEG datasets.</t>
  </si>
  <si>
    <t>[Spanos, Miltiadis; Vrahatis, Aristidis; Hadjinicolaou, Maria; Athanasiou, Alkinoos] Hellen Open Univ, Sch Sci &amp; Technol, Bioinformat &amp; Neuroinformat, Patras 26331, Greece; [Gazea, Theodora; Triantafyllidis, Vasileios; Athanasiou, Alkinoos] Ctr Neurosci &amp; Biomed Technol CENEBIT, Thessaloniki 54645, Greece; [Gazea, Theodora; Triantafyllidis, Vasileios; Mitsopoulos, Konstantinos; Bamidis, Panagiotis D.; Athanasiou, Alkinoos] Aristotle Univ Thessaloniki AUTH, Fac Hlth Sci, Sch Med, Med Phys &amp; Digital Innovat Lab, Thessaloniki 54124, Greece; [Vrahatis, Aristidis] Ionian Univ, Dept Informat, Bioinformat &amp; Human Electrophysiol Lab, Corfu 49100, Greece</t>
  </si>
  <si>
    <t>Hellenic Open University; Aristotle University of Thessaloniki; Ionian University</t>
  </si>
  <si>
    <t>Athanasiou, A (corresponding author), Hellen Open Univ, Sch Sci &amp; Technol, Bioinformat &amp; Neuroinformat, Patras 26331, Greece.;Athanasiou, A (corresponding author), Ctr Neurosci &amp; Biomed Technol CENEBIT, Thessaloniki 54645, Greece.;Athanasiou, A (corresponding author), Aristotle Univ Thessaloniki AUTH, Fac Hlth Sci, Sch Med, Med Phys &amp; Digital Innovat Lab, Thessaloniki 54124, Greece.</t>
  </si>
  <si>
    <t>smiltos94@gmail.com; gazeatheod@ece.auth.gr; vastridam@ece.auth.gr; konsmits@auth.gr; aris.vrahatis@ionio.gr; hadjinicolaou@eap.gr; bamidis@auth.gr; athalkinoos@auth.gr</t>
  </si>
  <si>
    <t>AUG 4</t>
  </si>
  <si>
    <t>10.3390/electronics14153106</t>
  </si>
  <si>
    <t>WOS:001550685500001</t>
  </si>
  <si>
    <t>Zhao, ZY; Yu, JL; Wu, YQ; Li, J; Guo, H; Zhang, HM; Sun, LN</t>
  </si>
  <si>
    <t>Zhao, Zhiyuan; Yu, Jiali; Wu, Yongqiang; Li, Juan; Guo, Hao; Zhang, Hongmiao; Sun, Lining</t>
  </si>
  <si>
    <t>Study of Electroencephalogram Feature Extraction and Classification of Three Tasks of Motor Imagery</t>
  </si>
  <si>
    <t>2017 2ND INTERNATIONAL CONFERENCE ON ADVANCED ROBOTICS AND MECHATRONICS (ICARM)</t>
  </si>
  <si>
    <t>Brain-computer interface; motor imagery; Electroencephalogram; common spatial pattern</t>
  </si>
  <si>
    <t>BRAIN-COMPUTER INTERFACE; EEG; COMMUNICATION; MU</t>
  </si>
  <si>
    <t>Brain-computer interface (BCI) instead of depending on the brain's normal output pathways, can use electroencephalogram (EEG) from the scalp as the representation of brain activity to control external devices. EEG during motor imagery (MI) provides a non-muscular communication way to control external devices and has advantage of non-invasiveness and high time resolution. However the application is still limited by time-consuming training and poor classification rate with multiple categories etc. We recorded 64-channel scalp EEG from eight healthy subjects during imagery tasks of left, right hand movements and stop. EEG was analyzed in time-frequency distribution and spatial topographies were explored too. A one versus one common spatial pattern was applied to construct feature vector and then linear discriminant analysis was used for the classification. For the purpose of real time control in the future, small training size was used and we got discrimination among three types of motor imagery at the accuracy rate about 90%.</t>
  </si>
  <si>
    <t>[Zhao, Zhiyuan; Yu, Jiali; Wu, Yongqiang; Li, Juan; Guo, Hao; Zhang, Hongmiao; Sun, Lining] Soochow Univ, Sch Mech &amp; Elect Engn, Suzhou 215006, Peoples R China</t>
  </si>
  <si>
    <t>Soochow University - China</t>
  </si>
  <si>
    <t>Zhang, HM (corresponding author), Soochow Univ, Sch Mech &amp; Elect Engn, Suzhou 215006, Peoples R China.</t>
  </si>
  <si>
    <t>zhanghongmiao@suda.edu.cn</t>
  </si>
  <si>
    <t>guo, hao/HJH-6905-2023; Wu, Yongqiang/AAC-5577-2021</t>
  </si>
  <si>
    <t>Automation &amp; Control Systems; Engineering; Robotics</t>
  </si>
  <si>
    <t>WOS:000426453700088</t>
  </si>
  <si>
    <t>Guo, Y; Wang, M; Zheng, TW; Li, YC; Wang, P; Qin, XB</t>
  </si>
  <si>
    <t>Guo, Yuan; Wang, Mei; Zheng, Tianwei; Li, Yuancheng; Wang, Pai; Qin, Xuebin</t>
  </si>
  <si>
    <t>NAO Robot Limb Control Method Based on Motor Imagery EEG</t>
  </si>
  <si>
    <t>2020 INTERNATIONAL SYMPOSIUM ON COMPUTER, CONSUMER AND CONTROL (IS3C 2020)</t>
  </si>
  <si>
    <t>International Symposium on Computer Consumer and Control</t>
  </si>
  <si>
    <t>Brain-computer interface; EEG; subband filter; co-space algorithm; integrated learning algorithm; motion imagination; NAO robot</t>
  </si>
  <si>
    <t>Brain computer interface (BCI) technology refers to the technology that helps establish direct communication and control channels between the human brain and the computer. This technology can meet the control requirements of external equipment without passing through the patient's damaged nerves and declining muscle system. Electroencephalogram (EEG) contains a variety of information, including motor imagination information, steady-state visually evoked EEG information, emotional information, and fatigue information, etc. This paper designs a brain-computer interface system based on motor imagination and uses it to control the body movements of the NAO robot. The system is mainly divided into three modules: signal acquisition, signal processing and robot control. In terms of signal acquisition, electrode caps, conductive glue, EEG amplifiers and Curry7 software are used. In this paper, we design a frequency band feature selection algorithm based on an improved sub-band filter bank (FB)-Common Space Pattern (CSP). These features are classified using Bagging ensemble classification algorithm and converted to use Commands for controlling the NAO robot. In terms of communication control, the instruction codes are preset, and the classification results are corresponding to instructions for controlling different actions of the robot. It is transmitted to the robot by using wireless communication technology. The Bagging ensemble classification method proposed in this paper classifies EEG features. The accuracy of the four types of motor imaging EEG classification is as high as 78.29%, and the accuracy of NAO robot action execution experiments is up to 86.33%, which proves the correctness of the algorithm studied in this paper. The reliability and feasibility of the NAO robot brain control system designed in this paper.</t>
  </si>
  <si>
    <t>[Guo, Yuan; Wang, Mei; Zheng, Tianwei; Wang, Pai; Qin, Xuebin] Xian Univ Sci &amp; Technol, Coll Elect &amp; Control Engn, Xian, Peoples R China; [Li, Yuancheng] Xian Univ Sci &amp; Technol, Coll Comp Sci, Xian, Peoples R China</t>
  </si>
  <si>
    <t>Xi'an University of Science &amp; Technology; Xi'an University of Science &amp; Technology</t>
  </si>
  <si>
    <t>Wang, M (corresponding author), Xian Univ Sci &amp; Technol, Coll Elect &amp; Control Engn, Xian, Peoples R China.</t>
  </si>
  <si>
    <t>18206044030@stu.xust.edu.cn; wangm@xust.edu.cn; 18206044031@stu.xust.edu.cn; liyuancheng@xust.edu.cn; wangpai2013@xust.edu.cn; qinxb@xust.edu.cn</t>
  </si>
  <si>
    <t>Li, yuancheng/IUO-3866-2023; Qin, Xuebin/ABI-7972-2020</t>
  </si>
  <si>
    <t>10.1109/IS3C50286.2020.00141</t>
  </si>
  <si>
    <t>WOS:000669743300135</t>
  </si>
  <si>
    <t>Aljal, M; Djemal, R; Ibrahim, S</t>
  </si>
  <si>
    <t>Aljal, Majid; Djemal, Ridha; Ibrahim, Sutrisno</t>
  </si>
  <si>
    <t>Robot Navigation Using a Brain Computer Interface Based on Motor Imagery</t>
  </si>
  <si>
    <t>JOURNAL OF MEDICAL AND BIOLOGICAL ENGINEERING</t>
  </si>
  <si>
    <t>Brain computer interface (BCI); Common spatial pattern (CSP); Electroencephalogram (EEG); Motor imagery; Robot navigation</t>
  </si>
  <si>
    <t>EEG; BCI; WHEELCHAIR; SIMULATOR; VEHICLE; SIGNALS</t>
  </si>
  <si>
    <t>An interface between a human brain and a computer (or any external device) can be implemented for interchanging orders using a brain-computer interface (BCI) system. Motor imagery (MI), which represents human intention to execute actions or movements, can be captured and analyzed using brain signals such as electroencephalograms (EEGs). The present study focuses on a synchronous control system with a BCI based on MI for robot navigation. We employ a new feature extraction technique using common spatial pattern (CSP) filtering combined with band power to form feature vectors. Linear discriminant analysis (LDA) is employed to classify two types of MI tasks (right hand and left hand). In addition, we have developed posture-dependent control architecture that translates the obtained MI into four robot motion commands: going forward, turning left, turning right, and stopping. The EEGs of eight healthy volunteer male subjects were recorded and employed to navigate a simulated robot to a goal in a virtual environment. On a predefined task, the developed BCI robot control system achieved its task in170s with a collision number of 0.65, distance of 23.92m, and successful command rate of 80%. Although the performance of the complete system varied from one subject to another, the robot always reached its final position successfully. The developed BCI robot control system yields promising results compared to manual controls.</t>
  </si>
  <si>
    <t>[Aljal, Majid; Djemal, Ridha; Ibrahim, Sutrisno] King Saud Univ, Dept Elect Engn, Coll Engn, POB 800, Riyadh 11421, Saudi Arabia</t>
  </si>
  <si>
    <t>Aljal, M (corresponding author), King Saud Univ, Dept Elect Engn, Coll Engn, POB 800, Riyadh 11421, Saudi Arabia.</t>
  </si>
  <si>
    <t>algalalmajid@hotmail.com; rdjemal@ksu.edu.sa; suibrahim@ksu.edu.sa</t>
  </si>
  <si>
    <t>; Aljalal, Majid/HLW-6779-2023</t>
  </si>
  <si>
    <t>Aljalal, Majid/0000-0002-2694-3440; Ibrahim, Sutrisno/0000-0003-1298-4206;</t>
  </si>
  <si>
    <t>10.1007/s40846-018-0431-9</t>
  </si>
  <si>
    <t>WOS:000475765600007</t>
  </si>
  <si>
    <t>Gu, XL; Yang, BH; Gao, SW; Gao, HH; Yan, LF; Xu, D; Wang, W</t>
  </si>
  <si>
    <t>Gu, Xuelin; Yang, Banghua; Gao, Shouwei; Gao, Honghao; Yan, Linfeng; Xu, Ding; Wang, Wen</t>
  </si>
  <si>
    <t>BCI plus VR rehabilitation design of closed-loop motor imagery based on the degree of drug addiction</t>
  </si>
  <si>
    <t>CHINA COMMUNICATIONS</t>
  </si>
  <si>
    <t>Drugs; Electroencephalography; Training; Brain modeling; Signal processing; Feature extraction; Real-time systems; drug addiction degree; brain-computer interface; motor imagery; virtual reality; drug addiction rehabilitation</t>
  </si>
  <si>
    <t>EEG; ENSEMBLE; NIRS</t>
  </si>
  <si>
    <t>After abusing drugs for long, drug users will experience deteriorated self-control cognitive ability, and poor emotional regulation. This paper designs a closed-loop virtual-reality (VR), motorimagery (MI) rehabilitation training system based on brain-computer interface (BCI) (MI-BCI+VR), aiming to enhance the self-control, cognition, and emotional regulation of drug addicts via personalized rehabilitation schemes. This paper is composed of two parts. In the first part, data of 45 drug addicts (mild: 15; moderate: 15; and severe: 15) is tested with electroencephalogram (EEG) and near-infrared spectroscopy (NIRS) equipment (EEG-NIRS) under the dual-mode, synchronous signal collection paradigm. Using these data sets, a dual-modal signal convolutional neural network (CNN) algorithm is then designed based on decision fusion to detect and classify the addiction degree. In the second part, the MI-BCI+VR rehabilitation system is designed, optimizing the Filter Bank Common Spatial Pattern (FBCSP) algorithm used in MI, and realizing MI-EEG intention recognition. Eight VR rehabilitation scenes are devised, achieving the communication between MI-BCI and VR scene models. Ten subjects are selected to test the rehabilitation system offline and online, and the test accuracy verifies the feasibility of the system. In future, it is suggested to develop personalized rehabilitation programs and treatment cycles based on the addiction degree.</t>
  </si>
  <si>
    <t>[Gu, Xuelin; Yang, Banghua; Gao, Shouwei] Shanghai Univ, Sch Mech &amp; Elect Engn &amp; Automat, Shanghai 200444, Peoples R China; [Gao, Honghao] Shanghai Univ, Sch Comp Engn &amp; Sci, Shanghai 200444, Peoples R China; [Yan, Linfeng; Wang, Wen] Fourth Mil Med Univ, Tangdu Hosp, Dept Radiol, Xian 710038, Shaanxi, Peoples R China; [Yan, Linfeng; Wang, Wen] Fourth Mil Med Univ, Funct &amp; Mol Imaging Key Lab Shaanxi Prov, Xian 710038, Shaanxi, Peoples R China; [Xu, Ding] Shanghai Drug Rehabil Adm Bur, Shanghai 200080, Peoples R China</t>
  </si>
  <si>
    <t>Shanghai University; Shanghai University; Air Force Medical University; Air Force Medical University</t>
  </si>
  <si>
    <t>Yang, BH (corresponding author), Shanghai Univ, Sch Mech &amp; Elect Engn &amp; Automat, Shanghai 200444, Peoples R China.</t>
  </si>
  <si>
    <t>guxuelin@shu.edu.cn; yangbanghua@shu.edu.cn; swgao@shu.edu.cn; gaohonghao@shu.edu.cn; yanlinfeng@fmmu.edu.cn; xuding1993@163.com; wangwen@fmmu.edu.cn</t>
  </si>
  <si>
    <t>Yang, Banghua/LIC-1882-2024; Gao, Honghao/AAX-4529-2020</t>
  </si>
  <si>
    <t>10.23919/JCC.2022.02.006</t>
  </si>
  <si>
    <t>WOS:000766268900011</t>
  </si>
  <si>
    <t>Lu, RR; Zheng, MX; Li, J; Gao, TH; Hua, XY; Liu, G; Huang, SH; Xu, JG; Wu, Y</t>
  </si>
  <si>
    <t>Lu, Rong-Rong; Zheng, Mou-Xiong; Li, Jie; Gao, Tian-Hao; Hua, Xu-Yun; Liu, Gang; Huang, Song-Hua; Xu, Jian-Guang; Wu, Yi</t>
  </si>
  <si>
    <t>Motor imagery based brain-computer interface control of continuous passive motion for wrist extension recovery in chronic stroke patients</t>
  </si>
  <si>
    <t>NEUROSCIENCE LETTERS</t>
  </si>
  <si>
    <t>Stroke; Rehabilitation; Brain-computer interface; Continuous passive motion; motor imagery</t>
  </si>
  <si>
    <t>FUNCTIONAL ELECTRICAL-STIMULATION; CONTROLLED-TRIAL; UPPER EXTREMITY; MENTAL PRACTICE; REHABILITATION; TECHNOLOGY; THERAPY; SYSTEM; EEG</t>
  </si>
  <si>
    <t>Motor recovery of wrist and fingers is still a great challenge for chronic stroke survivors. The present study aimed to verify the efficiency of motor imagery based brain-computer interface (BCI) control of continuous passive motion (CPM) in the recovery of wrist extension due to stroke. An observational study was conducted in 26 chronic stroke patients, aged 49.0 +/- 15.4 years, with upper extremity motor impairment. All patients showed no wrist extension recovery. A 24-channel highresolution electroencephalogram (EEG) system was used to acquire cortical signal while they were imagining extension of the affected wrist. Then, 20 sessions of BCI-driven CPM training were carried out for 6 weeks. Primary outcome was the increase of active range of motion (ROM) of the affected wrist from the baseline to final evaluation. Improvement of modified Barthel Index, EEG classification and motor imagery pattern of wrist extension were recorded as secondary outcomes. Twenty-one patients finally passed the EEG screening and completed all the BCI-driven CPM trainings. From baseline to the final evaluation, the increase of active ROM of the affected wrists was (24.05 +/- 14.46)degrees. The increase of modified Barthel Index was 3.10 +/- 4.02 points. But no statistical difference was detected between the baseline and final evaluations (P &gt; 0.05). Both EEG classification and motor imagery pattern improved. The present study demonstrated beneficial outcomes of MI-based BCI control of CPM training in motor recovery of wrist extension using motor imagery signal of brain in chronic stroke patients.</t>
  </si>
  <si>
    <t>[Lu, Rong-Rong; Gao, Tian-Hao; Liu, Gang; Huang, Song-Hua; Wu, Yi] Fudan Univ, Huashan Hosp, Dept Rehabil, 12 Middle Wulumuqi Rd, Shanghai 200040, Peoples R China; [Xu, Jian-Guang] Shanghai Univ Tradit Chinese Med, Sch Rehabil Sci, Shanghai 201203, Peoples R China; [Zheng, Mou-Xiong; Hua, Xu-Yun] Shanghai Univ Tradit Chinese Med, Yueyang Hosp, Dept Traumatol &amp; Orthoped, Shanghai 200437, Peoples R China; [Li, Jie] Tongji Univ, Dept Comp Sci &amp; Technol, 4800 Caoan Highway, Shanghai 200092, Peoples R China</t>
  </si>
  <si>
    <t>Fudan University; Shanghai University of Traditional Chinese Medicine; Shanghai University of Traditional Chinese Medicine; Tongji University</t>
  </si>
  <si>
    <t>Wu, Y (corresponding author), Fudan Univ, Huashan Hosp, Dept Rehabil, 12 Middle Wulumuqi Rd, Shanghai 200040, Peoples R China.;Xu, JG (corresponding author), Shanghai Univ Tradit Chinese Med, Sch Rehabil Sci, Shanghai 201203, Peoples R China.</t>
  </si>
  <si>
    <t>xjg@shutcm.edu.cn; wuyi@fudan.edu.cn</t>
  </si>
  <si>
    <t>; yu, huan/T-5615-2017</t>
  </si>
  <si>
    <t>Hua, Xu-Yun/0000-0002-2935-7551; Xu, Jian-Guang/0000-0002-9091-8151; Huang, SongHua/0000-0003-0489-274X</t>
  </si>
  <si>
    <t>JAN 23</t>
  </si>
  <si>
    <t>10.1016/j.neulet.2019.134727</t>
  </si>
  <si>
    <t>WOS:000510948200006</t>
  </si>
  <si>
    <t>Mohammadpour, M; Ghorbanian, M; Mozaffari, S</t>
  </si>
  <si>
    <t>Mohammadpour, Mostafa; Ghorbanian, MohammadKazem; Mozaffari, Saeed</t>
  </si>
  <si>
    <t>Comparison of EEG Signal Features and Ensemble Learning Methods for Motor Imagery Classification</t>
  </si>
  <si>
    <t>2016 EIGHTH INTERNATIONAL CONFERENCE ON INFORMATION AND KNOWLEDGE TECHNOLOGY (IKT)</t>
  </si>
  <si>
    <t>EEG Signal; Motor Imagery; Feature Extraction; Classification; Ensemble Learning</t>
  </si>
  <si>
    <t>FEATURE-EXTRACTION; BCI</t>
  </si>
  <si>
    <t>Classifying electroencephalogram (EEG) signal in Brain Computer Interface (BCI) is a useful methods to analysis different organs of human body and it can be used for communicate with the outside world and controlling external device. Accuracy classification of extracted features from EEG signals is a problem which many researcher try to improve it. Although many methods for extracting feature and classifying EEG signal have been proposed and developed, many of them suffer from extracting less accurate data from EEG signals. In this work, four signal feature extraction and three ensemble learning method have been reviewed and performances of classification techniques are compared for motor imagery task.</t>
  </si>
  <si>
    <t>[Mohammadpour, Mostafa] Islamic Azad Univ, Dept Comp Engn, Qazvin Branch, Qazvin, Iran; [Ghorbanian, MohammadKazem] Islamic Azad Univ, Dept Comp Engn, Buinzahra Branch, Buinzahra, Iran; [Mozaffari, Saeed] Semnan Univ, Dept Elect &amp; Comp Engn, Semnan, Iran</t>
  </si>
  <si>
    <t>Islamic Azad University; Islamic Azad University; Semnan University</t>
  </si>
  <si>
    <t>Mohammadpour, M (corresponding author), Islamic Azad Univ, Dept Comp Engn, Qazvin Branch, Qazvin, Iran.</t>
  </si>
  <si>
    <t>mohammadpour@qiau.ac.ir; mk.ghorbanian@buiniau.ac.ir; mozaffari@semnan.ac.ir</t>
  </si>
  <si>
    <t>Computer Science; Telecommunications</t>
  </si>
  <si>
    <t>WOS:000390848900048</t>
  </si>
  <si>
    <t>Sharini</t>
  </si>
  <si>
    <t>https://docs.google.com/document/d/1DU1S6kjbU5oMqXsSsTvpyBZWe82SBonrHqpexhUtd58/edit?usp=sharing</t>
  </si>
  <si>
    <t>Zhao, QB; Zhang, LQ; Li, J</t>
  </si>
  <si>
    <t>Mahr, B; Huanye, S</t>
  </si>
  <si>
    <t>Zhao, Qibin; Zhang, Liqing; Li, Jie</t>
  </si>
  <si>
    <t>Multi-Task BCI for Online Game Control</t>
  </si>
  <si>
    <t>AUTONOMOUS SYSTEMS - SELF-ORGANIZATION, MANAGEMENT, AND CONTROL</t>
  </si>
  <si>
    <t>BRAIN-COMPUTER-INTERFACE; SINGLE-TRIAL EEG; CLASSIFICATION; COMMUNICATION; MOVEMENT; DEVICE</t>
  </si>
  <si>
    <t>In this paper, we develop a new type of brain-computer interface (BCI) which is able to control a computer game by motor imagery electroencephalogram (EEG). We propose a new framework of feature extractions using common spatial frequency patterns (CSFP) for classification of motor imagery EEG. The aim of our BCI system is to provide an on-line hit rat game control with short response time and subject-specific adaptation of system parameters. Our BCI system is able to detect three different motor imagery-related brain patterns (imagination of limb movements: left hand, right hand and both feet) from the ongoing brain activity by using only five EEG channels. The best hit accuracy of the game with fast response time attained by subject 2 is about 73%, which demonstrates that our BCI system has the ability of providing much fast BCI of even 1 s per command.</t>
  </si>
  <si>
    <t>[Zhao, Qibin; Zhang, Liqing; Li, Jie] Shanghai Jiao Tong Univ, Lab Percept Comp, Shanghai, Peoples R China</t>
  </si>
  <si>
    <t>Shanghai Jiao Tong University</t>
  </si>
  <si>
    <t>Zhao, QB (corresponding author), Shanghai Jiao Tong Univ, Lab Percept Comp, Shanghai, Peoples R China.</t>
  </si>
  <si>
    <t>qbzhao@gmail.com; zhang-lq@cs.sjtu.edu.cn</t>
  </si>
  <si>
    <t>Zhang, Liqing/A-2966-2009; Li, jie/GXG-4583-2022</t>
  </si>
  <si>
    <t>10.1007/978-1-4020-8889-6_4</t>
  </si>
  <si>
    <t>Automation &amp; Control Systems; Computer Science; Operations Research &amp; Management Science; Robotics</t>
  </si>
  <si>
    <t>WOS:000261729700004</t>
  </si>
  <si>
    <t>Huang, DD; Lin, P; Fei, DY; Chen, XD; Bai, O</t>
  </si>
  <si>
    <t>Huang, Dandan; Lin, Peter; Fei, Ding-Yu; Chen, Xuedong; Bai, Ou</t>
  </si>
  <si>
    <t>Decoding human motor activity from EEG single trials for a discrete two-dimensional cursor control</t>
  </si>
  <si>
    <t>BRAIN-COMPUTER-INTERFACE; EVENT-RELATED DESYNCHRONIZATION; FINGER MOVEMENTS; CORTICAL CONTROL; CLASSIFICATION; COMMUNICATION; SIGNAL; CLASSIFIERS; TECHNOLOGY; MACHINES</t>
  </si>
  <si>
    <t>This study aims to explore whether human intentions to move or cease to move right and left hands can be decoded from spatiotemporal features in non-invasive EEG in order to control a discrete two-dimensional cursor movement for a potential multidimensional brain-computer interface (BCI). Five naive subjects performed either sustaining or stopping a motor task with time locking to a predefined time window by using motor execution with physical movement or motor imagery. Spatial filtering, temporal filtering, feature selection and classification methods were explored. The performance of the proposed BCI was evaluated by both offline classification and online two-dimensional cursor control. Event-related desynchronization (ERD) and post-movement event-related synchronization (ERS) were observed on the contralateral hemisphere to the hand moved for both motor execution and motor imagery. Feature analysis showed that EEG beta band activity in the contralateral hemisphere over the motor cortex provided the best detection of either sustained or ceased movement of the right or left hand. The offline classification of four motor tasks (sustain or cease to move right or left hand) provided 10-fold cross-validation accuracy as high as 88% for motor execution and 73% for motor imagery. The subjects participating in experiments with physical movement were able to complete the online game with motor execution at an average accuracy of 85.5 +/- 4.65%; the subjects participating in motor imagery study also completed the game successfully. The proposed BCI provides a new practical multidimensional method by noninvasive EEG signal associated with human natural behavior, which does not need long-term training.</t>
  </si>
  <si>
    <t>[Huang, Dandan; Fei, Ding-Yu; Bai, Ou] Virginia Commonwealth Univ, Dept Biomed Engn, Richmond, VA 23284 USA; [Lin, Peter] Natl Inst Neurol Disorders, Human Motor Control Sect, Med Neurol Branch, NIH, Bethesda, MD 20892 USA; [Chen, Xuedong] Huazhong Univ Sci &amp; Technol, Sch Mech Sci &amp; Engn, Wuhan 430074, Hubei, Peoples R China</t>
  </si>
  <si>
    <t>Virginia Commonwealth University; National Institutes of Health (NIH) - USA; NIH National Human Genome Research Institute (NHGRI); NIH National Institute of Neurological Disorders &amp; Stroke (NINDS); Huazhong University of Science &amp; Technology</t>
  </si>
  <si>
    <t>Bai, O (corresponding author), Virginia Commonwealth Univ, Dept Biomed Engn, Richmond, VA 23284 USA.</t>
  </si>
  <si>
    <t>; Huang, Dandan/I-3108-2013</t>
  </si>
  <si>
    <t>Lin, Peter/0000-0003-1198-7763; Bai, Ou/0000-0002-0040-6807;</t>
  </si>
  <si>
    <t>10.1088/1741-2560/6/4/046005</t>
  </si>
  <si>
    <t>WOS:000269480300006</t>
  </si>
  <si>
    <t>Hu, Y; Liu, Y; Zhang, SQ; Zhang, T; Dai, B; Peng, B; Yang, HB; Dai, YK</t>
  </si>
  <si>
    <t>Hu, Ying; Liu, Yan; Zhang, Siqi; Zhang, Ting; Dai, Bin; Peng, Bo; Yang, Hongbo; Dai, Yakang</t>
  </si>
  <si>
    <t>A Cross-Space CNN With Customized Characteristics for Motor Imagery EEG Classification</t>
  </si>
  <si>
    <t>Electroencephalography; Extraterrestrial measurements; Decoding; Task analysis; Convolutional neural networks; Feature extraction; Spatial resolution; Brain-computer interface (BCI); motor imagery (MI); cross-space; customized characteristics; convolutional neural network (CNN)</t>
  </si>
  <si>
    <t>BRAIN-COMPUTER INTERFACES; SINGLE-TRIAL EEG; SOURCE RECONSTRUCTION; STATE; BCI; COMMUNICATION</t>
  </si>
  <si>
    <t>The classification of motor imagery-electroencephalogram(MI-EEG)based brain-computer interface(BCI)can be used to decode neurological activities, which has been widely applied in the control of external devices. However, two factors still hinder the improvement of classification accuracy and robustness, especially in multi-class tasks. First, existing algorithms are based on a single space (measuring or source space). They suffer from the holistic low spatial resolution of the measuring space or the locally high spatial resolution information accessed from the source space, failing to provide holistic and high-resolution representations. Second, the subject specificity is not sufficiently characterized, resulting in the loss of personalized intrinsic information. Therefore, we propose a cross-space convolutional neural network (CS-CNN) with customized characteristics for four-class MI-EEG classification. This algorithm uses the modified customized band common spatial patterns (CBCSP) and duplex mean-shift clustering (DMSClustering) to express the specific rhythms and source distribution information in cross-space. At the same time, multi-view features from the time, frequency and space domains are extracted, connecting with CNN to fuse the characteristics from two spaces and classify them. MI-EEG was collected from 20 subjects. Lastly, the classification accuracy of the proposed is 96.05% with real MRI information and 94.79% without MRI in the private dataset. And the results in the BCI competition IV-2a show that CS-CNN outperforms the state-of-the-art algorithms, achieving an accuracy improvement of 1.98%, and a standard deviation reduction of 5.15%.</t>
  </si>
  <si>
    <t>[Hu, Ying; Dai, Bin] Univ Sci &amp; Technol China, Sch Biomed Engn Suzhou, Div Life Sci &amp; Med, Hefei 230026, Peoples R China; [Hu, Ying; Dai, Bin; Peng, Bo; Yang, Hongbo; Dai, Yakang] Chinese Acad Sci, Suzhou Inst Biomed Engn &amp; Technol, Suzhou 215163, Jiangsu, Peoples R China; [Liu, Yan] Chinese Acad Sci, Suzhou Inst Biomed Engn &amp; Technol, Dept Med Image, Suzhou 215163, Jiangsu, Peoples R China; [Liu, Yan] Suzhou Guoke Kangcheng Med Tech Co Ltd, Suzhou 215163, Peoples R China; [Zhang, Siqi] Harbin Univ Sci &amp; Technol, Sch Mech &amp; Power Engn, Harbin 150080, Peoples R China; [Zhang, Ting] Harbin Univ Sci &amp; Technol, Sch Automat, Harbin 150080, Peoples R China; [Dai, Yakang] Suzhou Guoke Kangcheng Med Technol Dev Co Ltd, Suzhou 215163, Peoples R China</t>
  </si>
  <si>
    <t>Chinese Academy of Sciences; University of Science &amp; Technology of China, CAS; Chinese Academy of Sciences; Suzhou Institute of Biomedical Engineering &amp; Technology, CAS; Chinese Academy of Sciences; Suzhou Institute of Biomedical Engineering &amp; Technology, CAS; Harbin University of Science &amp; Technology; Harbin University of Science &amp; Technology</t>
  </si>
  <si>
    <t>Liu, Y (corresponding author), Chinese Acad Sci, Suzhou Inst Biomed Engn &amp; Technol, Dept Med Image, Suzhou 215163, Jiangsu, Peoples R China.;Dai, YK (corresponding author), Suzhou Guoke Kangcheng Med Technol Dev Co Ltd, Suzhou 215163, Peoples R China.</t>
  </si>
  <si>
    <t>ying_h_bme@163.com; liuyan@sibet.ac.cn; daiyk@sibet.ac.cn</t>
  </si>
  <si>
    <t>; Yang, Hongbo/AAL-4818-2021</t>
  </si>
  <si>
    <t>hu, ying/0000-0002-9557-8598; Zhang, Siqi/0000-0001-7982-515X; Dai, Bin/0009-0003-9480-8763</t>
  </si>
  <si>
    <t>10.1109/TNSRE.2023.3249831</t>
  </si>
  <si>
    <t>WOS:000946264200005</t>
  </si>
  <si>
    <t>Glavas, K; Tzimourta, KD; Tzallas, AT; Giannakeas, N; Tsipouras, MG</t>
  </si>
  <si>
    <t>Glavas, Kosmas; Tzimourta, Katerina D.; Tzallas, Alexandros T.; Giannakeas, Nikolaos; Tsipouras, Markos G.</t>
  </si>
  <si>
    <t>Empowering Individuals With Disabilities: A 4-DoF BCI Wheelchair Using MI and EOG Signals</t>
  </si>
  <si>
    <t>Wheelchairs; Electroencephalography; Motors; Real-time systems; Headphones; Training; Safety; Brain-computer interfaces; Mental disorders; Brain-computer interface; BCI-controlled wheelchair; SVM; motor imagery; CSP; motor and mental disabilities; real-time BCI wheelchair</t>
  </si>
  <si>
    <t>BRAIN-COMPUTER INTERFACES; MOTOR IMAGERY; COMMUNICATION</t>
  </si>
  <si>
    <t>The field of Brain-Computer Interface (BCI) has been rapidly expanding in the last few years and it is applicable in several fields. This study introduces a BCI-controlled wheelchair that utilizes Motor Imagery (MI) mental commands for turning left and right and Electrooculogram (EOG) signals, raising the eyebrows, for starting and stopping. The wheelchair offers 4 Degrees of Freedom (DoF), allowing users to move forward, stop, turn left, and turn right. The Emotiv Epoc headset is used to record the raw EEG data, the Common Spatial Patterns (CSP) algorithm is utilized to extract features from the data, and the Support Vector Machine (SVM) is employed to classify the mental commands. A total of 28 subjects, with half of them being individuals with motor and brain disabilities such as brain paralysis, severe brain disability, epilepsy, and spastic tetraplegia, participated in 5 experiments to assess the proposed BCI system. The results show that all participants, including those with disabilities, successfully adapted to and operated the BCI-controlled wheelchair with high accuracy and precision.</t>
  </si>
  <si>
    <t>[Glavas, Kosmas; Tzimourta, Katerina D.; Tsipouras, Markos G.] Univ Western Macedonia, Dept Elect &amp; Comp Engn, Kozani 50100, Greece; [Tzallas, Alexandros T.; Giannakeas, Nikolaos] Univ Ioannina, Dept Informat &amp; Telecommun, Arta 47150, Greece</t>
  </si>
  <si>
    <t>University of Western Macedonia; University of Ioannina</t>
  </si>
  <si>
    <t>Tsipouras, MG (corresponding author), Univ Western Macedonia, Dept Elect &amp; Comp Engn, Kozani 50100, Greece.</t>
  </si>
  <si>
    <t>mtsipouras@uowm.gr</t>
  </si>
  <si>
    <t>; Giannakeas, Nikolaos/J-5603-2019; Tzallas, Alexandros/AAJ-4744-2020; Tzimourta, Katerina/P-7658-2018; Tsipouras, Markos/AAQ-7761-2020; Tzimourta, Katerina/N-4954-2019</t>
  </si>
  <si>
    <t>Tsipouras, Markos/0000-0002-6757-1698; Giannakeas, Nikolaos/0000-0002-0615-783X; Tzallas, Alexandros/0000-0001-9043-1290; Tzimourta, Katerina/0000-0001-9640-7005</t>
  </si>
  <si>
    <t>10.1109/ACCESS.2024.3424953</t>
  </si>
  <si>
    <t>WOS:001272138600001</t>
  </si>
  <si>
    <t>Zare, S; Beaber, SI; Sun, Y</t>
  </si>
  <si>
    <t>Zare, Soroush; Beaber, Sameh I.; Sun, Ye</t>
  </si>
  <si>
    <t>NeuroFlex: Feasibility of EEG-Based Motor Imagery Control of a Soft Glove for Hand Rehabilitation</t>
  </si>
  <si>
    <t>brain-machine interface; EEG; motor imagery; deep learning; soft actuator; rehabilitation</t>
  </si>
  <si>
    <t>NEURAL-NETWORKS; STROKE</t>
  </si>
  <si>
    <t>Motor impairments resulting from neurological disorders, such as strokes or spinal cord injuries, often impair hand and finger mobility, restricting a person's ability to grasp and perform fine motor tasks. Brain plasticity refers to the inherent capability of the central nervous system to functionally and structurally reorganize itself in response to stimulation, which underpins rehabilitation from brain injuries or strokes. Linking voluntary cortical activity with corresponding motor execution has been identified as effective in promoting adaptive plasticity. This study introduces NeuroFlex, a motion-intent-controlled soft robotic glove for hand rehabilitation. NeuroFlex utilizes a transformer-based deep learning (DL) architecture to decode motion intent from motor imagery (MI) EEG data and translate it into control inputs for the assistive glove. The glove's soft, lightweight, and flexible design enables users to perform rehabilitation exercises involving fist formation and grasping movements, aligning with natural hand functions for fine motor practices. The results show that the accuracy of decoding the intent of fingers making a fist from MI EEG can reach up to 85.3%, with an average AUC of 0.88. NeuroFlex demonstrates the feasibility of detecting and assisting the patient's attempted movements using pure thinking through a non-intrusive brain-computer interface (BCI). This EEG-based soft glove aims to enhance the effectiveness and user experience of rehabilitation protocols, providing the possibility of extending therapeutic opportunities outside clinical settings.</t>
  </si>
  <si>
    <t>[Zare, Soroush; Beaber, Sameh I.; Sun, Ye] Univ Virginia, Dept Mech &amp; Aerosp Engn, Charlottesville, VA 22903 USA; [Sun, Ye] Univ Virginia, Dept Elect &amp; Comp Engn, Charlottesville, VA 22903 USA</t>
  </si>
  <si>
    <t>University of Virginia; University of Virginia</t>
  </si>
  <si>
    <t>Sun, Y (corresponding author), Univ Virginia, Dept Mech &amp; Aerosp Engn, Charlottesville, VA 22903 USA.;Sun, Y (corresponding author), Univ Virginia, Dept Elect &amp; Comp Engn, Charlottesville, VA 22903 USA.</t>
  </si>
  <si>
    <t>cyj7tf@virginia.edu; azq6wr@virginia.edu; dzv7sg@virginia.edu</t>
  </si>
  <si>
    <t>Zare, Soroush/ADY-2628-2022</t>
  </si>
  <si>
    <t>10.3390/s25030610</t>
  </si>
  <si>
    <t>WOS:001419436600001</t>
  </si>
  <si>
    <t>Xu, BG; Li, WL; Liu, DP; Zhang, K; Miao, MM; Xu, GZ; Song, AG</t>
  </si>
  <si>
    <t>Xu, Baoguo; Li, Wenlong; Liu, Deping; Zhang, Kun; Miao, Minmin; Xu, Guozheng; Song, Aiguo</t>
  </si>
  <si>
    <t>Continuous Hybrid BCI Control for Robotic Arm Using Noninvasive Electroencephalogram, Computer Vision, and Eye Tracking</t>
  </si>
  <si>
    <t>MATHEMATICS</t>
  </si>
  <si>
    <t>brain-computer interface; motor imagery; hybrid control; robotic arm; eye tracking</t>
  </si>
  <si>
    <t>BRAIN-MACHINE INTERFACES; MOTOR IMAGERY; EEG; COMMUNICATION; FRAMEWORK; SELECTION; SIGNAL</t>
  </si>
  <si>
    <t>The controlling of robotic arms based on brain-computer interface (BCI) can revolutionize the quality of life and living conditions for individuals with physical disabilities. Invasive electroencephalography (EEG)-based BCI has been able to control multiple degrees of freedom (DOFs) robotic arms in three dimensions. However, it is still hard to control a multi-DOF robotic arm to reach and grasp the desired target accurately in complex three-dimensional (3D) space by a noninvasive system mainly due to the limitation of EEG decoding performance. In this study, we propose a noninvasive EEG-based BCI for a robotic arm control system that enables users to complete multitarget reach and grasp tasks and avoid obstacles by hybrid control. The results obtained from seven subjects demonstrated that motor imagery (MI) training could modulate brain rhythms, and six of them completed the online tasks using the hybrid-control-based robotic arm system. The proposed system shows effective performance due to the combination of MI-based EEG, computer vision, gaze detection, and partially autonomous guidance, which drastically improve the accuracy of online tasks and reduce the brain burden caused by long-term mental activities.</t>
  </si>
  <si>
    <t>[Xu, Baoguo; Li, Wenlong; Liu, Deping; Zhang, Kun; Song, Aiguo] Southeast Univ, Sch Instrument Sci &amp; Engn, Jiangsu Key Lab Remote Measurement &amp; Control, State Key Lab Bioelect, Nanjing 210096, Peoples R China; [Miao, Minmin] Huzhou Univ, Sch Informat Engn, Huzhou 313000, Peoples R China; [Xu, Guozheng] Nanjing Univ Posts &amp; Telecommun, Sch Automat &amp; Artificial Intelligence, Nanjing 210003, Peoples R China</t>
  </si>
  <si>
    <t>Southeast University - China; Huzhou University; Nanjing University of Posts &amp; Telecommunications</t>
  </si>
  <si>
    <t>Xu, BG (corresponding author), Southeast Univ, Sch Instrument Sci &amp; Engn, Jiangsu Key Lab Remote Measurement &amp; Control, State Key Lab Bioelect, Nanjing 210096, Peoples R China.</t>
  </si>
  <si>
    <t>xubaoguo@seu.edu.cn; zzuliwenlong@126.com; ldp9691@163.com; zhang_kun96@163.com; 02746@zjhu.edu.cn; xu_gz@hotmail.com; a.g.song@seu.edu.cn</t>
  </si>
  <si>
    <t>10.3390/math10040618</t>
  </si>
  <si>
    <t>Mathematics</t>
  </si>
  <si>
    <t>Y</t>
  </si>
  <si>
    <t>WOS:000767506600001</t>
  </si>
  <si>
    <t>Wu, RZ; Jin, J; Daly, I; Wang, XY; Cichocki, A</t>
  </si>
  <si>
    <t>Wu, Runze; Jin, Jing; Daly, Ian; Wang, Xingyu; Cichocki, Andrzej</t>
  </si>
  <si>
    <t>Classification of Motor Imagery Based on Multi-Scale Feature Extraction and the Channel-Temporal Attention Module</t>
  </si>
  <si>
    <t>Motor imagery; EEG; multi-scale convolu-tion; convolution neural network; attention module</t>
  </si>
  <si>
    <t>CONVOLUTIONAL NEURAL-NETWORK; BCI</t>
  </si>
  <si>
    <t>Motor imagery (MI) is a popular paradigm for controlling electroencephalogram (EEG) based Brain-Computer Interface (BCI) systems. Many methods have been developed to attempt to accurately classify MI-related EEG activity. Recently, the development of deep learning has begun to draw increasing attention in the BCI research community because it does not need to use sophisticated signal preprocessing and can automatically extract features. In this paper, we propose a deep learning model for use in MI-based BCI systems. Our model makes use of a convolutional neural network based on a multi-scale and channel-temporal attention module (CTAM), which called MSCTANN. The multi-scale module is able to extract a large number of features, while the attention module includes both a channel attention module and a temporal attention module, which together allow the model to focus attention on the most important features extracted from the data. The multi-scale module and the attention module are connected by a residual module, which avoids the degradation of the network. Our network model is built from these three core modules, which combine to improve the recognition ability of the network for EEG signals. Our experimental results on three datasets (BCI competition IV 2a, III IIIa and IV 1) show that our proposed method has better performance than other state-of-the-art methods, with accuracy rates of 80.6%, 83.56% and 79.84%. Our model has stable performance in decoding EEG signals and achieves efficient classification performance while using fewer network parameters than other comparable state-of-the-art methods.</t>
  </si>
  <si>
    <t>[Wu, Runze; Jin, Jing; Wang, Xingyu] Minist Educ, Key Lab Smart Mfg Energy Chem Proc, Shanghai 200237, Peoples R China; [Daly, Ian] Univ Essex, Sch Comp Sci &amp; Elect Engn, Brain Comp Interfacing &amp; Neural Engn Lab, Colchester CO4 3SQ, Essex, England; [Cichocki, Andrzej] RIKEN Brain Sci Inst, Lab Adv Brain Signal Proc, Wako 3510198, Japan; [Cichocki, Andrzej] Polish Acad Sci, Syst Res Inst, PL-01447 Warsaw, Poland; [Cichocki, Andrzej] Nicolaus Copernicus Univ, Dept Informat, PL-87100 Torun, Poland; [Jin, Jing] East China Univ Sci &amp; Technol, Shenzhen Res Inst, Shenzhen 518063, Peoples R China</t>
  </si>
  <si>
    <t>University of Essex; RIKEN; Polish Academy of Sciences; Systems Research Institute of the Polish Academy of Sciences; Nicolaus Copernicus University</t>
  </si>
  <si>
    <t>Jin, J (corresponding author), Minist Educ, Key Lab Smart Mfg Energy Chem Proc, Shanghai 200237, Peoples R China.;Jin, J (corresponding author), East China Univ Sci &amp; Technol, Shenzhen Res Inst, Shenzhen 518063, Peoples R China.</t>
  </si>
  <si>
    <t>epoch_666@163.com; jinjingat@gmail.com; i.daly@essex.ac.uk; xywang@ecust.edu.cn; a.cichocki@riken.jp</t>
  </si>
  <si>
    <t>Daly, Ian/Q-7322-2017; Jin, Jing/AAN-1711-2020; Cichocki, Andrzej/AAI-4209-2020</t>
  </si>
  <si>
    <t>Daly, Ian/0000-0001-5489-0393; Wu, Runze/0009-0008-7653-1752; Jin, Jing/0000-0002-6133-5491; Cichocki, Andrzej/0000-0002-8364-7226;</t>
  </si>
  <si>
    <t>10.1109/TNSRE.2023.3294815</t>
  </si>
  <si>
    <t>WOS:001041977800001</t>
  </si>
  <si>
    <t>Gordleeva, SY; Lukoyanov, MV; Mineev, SA; Khoruzhko, MA; Mironov, VI; Kaplan, AY; Kazantsev, VB</t>
  </si>
  <si>
    <t>Gordleeva, S. Yu.; Lukoyanov, M. V.; Mineev, S. A.; Khoruzhko, M. A.; Mironov, V. I.; Kaplan, A. Ya.; Kazantsev, V. B.</t>
  </si>
  <si>
    <t>Exoskeleton Control System Based on Motor-Imaginary Brain-Computer Interface</t>
  </si>
  <si>
    <t>SOVREMENNYE TEHNOLOGII V MEDICINE</t>
  </si>
  <si>
    <t>brain-computer interface; motor imagery; lower limb exoskeleton; exoskeleton control system; post-stroke rehabilitation</t>
  </si>
  <si>
    <t>REHABILITATION; POTENTIALS; IMAGERY; LEG</t>
  </si>
  <si>
    <t>The aim of the investigation was to develop the neuro-integrated control system for a lower-limb robotic exoskeleton (RE) using brain-computer interface (BCI) technology based on recognition of EEG patterns evoked by motor imagery of limb movement. Materials and Methods. The proposed neuro-integrated RE control system based on BCI technology consists of three main modules: EEG signal recording module, EEG signal classifier and the software for transmission of commands to RE. EEG patterns evoked by motor imagery are recognized by the classifier based on linear discriminant analysis that uses the features identified by spatial filtering applying CSP method for all types of commands pairwise. The proposed algorithms for classification of motor imagery patterns and user training techniques make it possible to reliably distinguish several (up to 4) different commands. After training and testing the classifier, the operator may proceed to control the external device, i.e. the lower-limb RE. RE control software has been developed for easy system customization. The software has a simple graphical user interface and allows the user to change the mapping of RE patterns and commands in the operation process. Results. As a result of testing in 14 healthy volunteers, the average accuracy of lower limb exoskeleton control based on the developed motor imagery BCI for three commands was found to average 70% in three sessions. Conclusion. The developed RE control system based on BCI technology offers fairly high accuracy for three commands. The operators successfully learn to practice motor imagery and operate the BCI contour, even if they have no previous experience of work with brainmachine interfaces.</t>
  </si>
  <si>
    <t>[Gordleeva, S. Yu.] Lobachevsky State Univ Nizhni Novgorod, Lab Math Modeling Neurosci, 23 Prospekt Gagarina, Nizhnii Novgorod 603950, Russia; [Lukoyanov, M. V.; Kaplan, A. Ya.] Lobachevsky State Univ Nizhni Novgorod, Lab Brain Comp Interface Dev, 23 Prospekt Gagarina, Nizhnii Novgorod 603950, Russia; [Mineev, S. A.] Lobachevsky State Univ Nizhni Novgorod, Dept Informat Technol Phys Res, 23 Prospekt Gagarina, Nizhnii Novgorod 603950, Russia; [Khoruzhko, M. A.; Mironov, V. I.] Lobachevsky State Univ Nizhni Novgorod, Lab Dev Intelligent Biomechatron Technol, 23 Prospekt Gagarina, Nizhnii Novgorod 603950, Russia; [Kazantsev, V. B.] Lobachevsky State Univ Nizhni Novgorod, Neurotechnol Dept, 23 Prospekt Gagarina, Nizhnii Novgorod 603950, Russia; [Lukoyanov, M. V.] Nizhny Novgorod State Med Acad, Dept Normal Physiol, 10-1 Minin &amp; Pozharsky Sq, Nizhnii Novgorod 603005, Russia; [Kaplan, A. Ya.] Lomonosov Moscow State Univ, Lab Neurophysiol &amp; Neurocomp Interfaces, 1 Leninskie Gory, Moscow 119991, Russia</t>
  </si>
  <si>
    <t>Lobachevsky State University of Nizhni Novgorod; Lobachevsky State University of Nizhni Novgorod; Lobachevsky State University of Nizhni Novgorod; Lobachevsky State University of Nizhni Novgorod; Lobachevsky State University of Nizhni Novgorod; Privolzhsky Research Medical University; Lomonosov Moscow State University</t>
  </si>
  <si>
    <t>Gordleeva, SY (corresponding author), Lobachevsky State Univ Nizhni Novgorod, Lab Math Modeling Neurosci, 23 Prospekt Gagarina, Nizhnii Novgorod 603950, Russia.</t>
  </si>
  <si>
    <t>gordleeva@neuro.nnov.ru</t>
  </si>
  <si>
    <t>Kaplan, Alexander/L-5832-2017; Mironov, Vasiliy/HNI-6384-2023; Mineev, Sergey/M-6860-2018; Kazantsev, Viktor/L-1424-2013; Gordleeva, Susanna/AAN-9758-2020; Lukoyanov, Maxim/AAL-2764-2021</t>
  </si>
  <si>
    <t>Kazantsev, Viktor/0000-0002-2881-6648; Lukoyanov, Maxim/0000-0001-7650-3112; Kaplan, Alexander/0000-0002-3912-4639;</t>
  </si>
  <si>
    <t>10.17691/stm2017.9.3.04</t>
  </si>
  <si>
    <t>Research &amp; Experimental Medicine</t>
  </si>
  <si>
    <t>WOS:000417393300004</t>
  </si>
  <si>
    <t>Xu, BL; Yin, XX; Fu, YF; Shi, G; Li, HY; Wang, ZD</t>
  </si>
  <si>
    <t>Liu, HC; Sung, WP; WenliYao</t>
  </si>
  <si>
    <t>Xu, B. L.; Yin, X. X.; Fu, Y. F.; Shi, G.; Li, H. Y.; Wang, Z. D.</t>
  </si>
  <si>
    <t>Identification of motor imagery parameters from EEG using SVM</t>
  </si>
  <si>
    <t>INFORMATION TECHNOLOGY AND COMPUTER APPLICATION ENGINEERING</t>
  </si>
  <si>
    <t>Brain-Computer Interface (BCI); motor imagery parameters; Support Vector Machine (SVM)</t>
  </si>
  <si>
    <t>CORTICAL POTENTIALS; HAND MOVEMENT; CLASSIFICATION</t>
  </si>
  <si>
    <t>Brain Computer Interface (BCI) is a technology to control devices such as prosthetics, cars, robots and other control related applications using brain signal directly. Currently, EEG-based BCIs are mostly based on classification between different limb effectors, and only few commands can be generated directly. To increase the command number and control efficiency, both clench force parameters and clench speed parameters has been studied independently. In this paper, we try to decode speed and force hand movement imagination at the same time. Alpha band power of EEG signal is extracted as feature and then classified by Support Vector Machine (SVM). The primary result shows that speed and force motor imagery of the same hand is distinguishable, which may increase direct BCI control commands in the future.</t>
  </si>
  <si>
    <t>[Xu, B. L.; Yin, X. X.; Shi, G.; Li, H. Y.] Chinese Acad Sci, SIA, State Key Lab Robot, Shenyang 110016, Peoples R China; [Xu, B. L.; Yin, X. X.] Univ Chinese Acad Sci, Beijing, Peoples R China; [Fu, Y. F.] Kunming Univ Sci &amp; Technol, Sch Automat &amp; Informat Engn, Kunming, Peoples R China; [Li, H. Y.] Northeastern Univ, Sch Mech Engn Automat, Shenyang, Peoples R China; [Wang, Z. D.] Chiba Inst Technol, Dept Adv Robot, Chiba, Japan</t>
  </si>
  <si>
    <t>Chinese Academy of Sciences; Chinese Academy of Sciences; University of Chinese Academy of Sciences, CAS; Kunming University of Science &amp; Technology; Northeastern University - China; Chiba Institute of Technology</t>
  </si>
  <si>
    <t>Xu, BL (corresponding author), Chinese Acad Sci, SIA, State Key Lab Robot, Shenyang 110016, Peoples R China.</t>
  </si>
  <si>
    <t>WOS:000340611200073</t>
  </si>
  <si>
    <t>A hybrid EEG-fNIRS Bel: motor imagery for EEG and mental arithmetic for fNIRS</t>
  </si>
  <si>
    <t>2014 14TH INTERNATIONAL CONFERENCE ON CONTROL, AUTOMATION AND SYSTEMS (ICCAS 2014)</t>
  </si>
  <si>
    <t>International Conference on Control Automation and Systems</t>
  </si>
  <si>
    <t>EEG; fNIRS; hybrid BCI; SVM; Classification</t>
  </si>
  <si>
    <t>NEAR-INFRARED SPECTROSCOPY; BRAIN-COMPUTER INTERFACES; CLASSIFICATION; COMMUNICATION; FREQUENCY; SIGNALS; SSVEP</t>
  </si>
  <si>
    <t>In this paper, we have combined electroencephalography (EEG) and functional near-infrared spectroscopy (tNRIS) to make a hybrid EEG-NIRS based system for brain-computer interface (BCI). The EEG electrodes were placed on the motor cortex region and the NIRS optodes were set on the prefrontal region. The data of four subjects was acquired using mental arithmetic tasks and motor imageries of the left-and right-hand. The EEG data were band-pass filtered to obtain the activity (8 similar to 18 Hz). The modified Beer-Lambert law (MBLL) was used to convert the tNIRS data into oxy- and deoxy-hemoglobin (HbO and HbR), respectively. A common threshold between the two modalities was established to define a common resting state. The support vector machines (SVM) was used for data classification. Three control commands were generated using the prefrontal and motor cortex data. The results show that EEG and tNIRS can be combined for better brain signal acquisition and classification for BCI.</t>
  </si>
  <si>
    <t>[Khan, M. Jawad; Hong, Keum-Shik] Pusan Natl Univ, Sch Mech Engn, 2 Busandaehak Ro, Busan 609735, South Korea; [Hong, Keum-Shik; Naseer, Noman; Bhutta, M. Raheel] Pusan Natl Univ, Dept Cognomechatron Engn, Busan 609735, South Korea</t>
  </si>
  <si>
    <t>Hong, KS (corresponding author), Pusan Natl Univ, Sch Mech Engn, 2 Busandaehak Ro, Busan 609735, South Korea.</t>
  </si>
  <si>
    <t>WOS:000392834400054</t>
  </si>
  <si>
    <t>Zhou, TC; Chen, AQ; Chen, K</t>
  </si>
  <si>
    <t>Zhou, Tichao; Chen, Anqi; Chen, Kun</t>
  </si>
  <si>
    <t>A Brain Computer Interface based on motor imagery for maze game</t>
  </si>
  <si>
    <t>2017 10TH INTERNATIONAL SYMPOSIUM ON COMPUTATIONAL INTELLIGENCE AND DESIGN (ISCID), VOL. 1</t>
  </si>
  <si>
    <t>International Symposium on Computational Intelligence and Design</t>
  </si>
  <si>
    <t>EEG; BCI; CSP; feature extraction; maze game</t>
  </si>
  <si>
    <t>SYNCHRONIZATION</t>
  </si>
  <si>
    <t>Motor imagery electroencephalograph (EEG) signals can be applied in brain computer interface (BCI) systems to make up specific control instructions. In this paper, the common space pattern (CSP) algorithm is used for spatial feature extraction of four different motor imagery (MI) tasks as well as sorting and classifying the features by Multi-Cluster Feature Selection (MCFS) algorithm and Sparse Representation Discrimination Analysis (SRDA) algorithm, the average classification rate can reach 68%. In order to emphasize the feasibility of MI EEG in non-invasive BCI, a maze game is designed and implemented. Subjects can control the process of game successfully in an unshielded environment.</t>
  </si>
  <si>
    <t>[Zhou, Tichao; Chen, Anqi; Chen, Kun] Wuhan Univ Technol, Sch Informat Engn, Wuhan, Hubei, Peoples R China; [Chen, Kun] Wuhan Univ Technol, Minist Educ, Key Lab Fiber Opt Sensing Technol &amp; Informat Proc, Wuhan, Hubei, Peoples R China</t>
  </si>
  <si>
    <t>Wuhan University of Technology; Wuhan University of Technology</t>
  </si>
  <si>
    <t>Chen, K (corresponding author), Wuhan Univ Technol, Sch Informat Engn, Wuhan, Hubei, Peoples R China.;Chen, K (corresponding author), Wuhan Univ Technol, Minist Educ, Key Lab Fiber Opt Sensing Technol &amp; Informat Proc, Wuhan, Hubei, Peoples R China.</t>
  </si>
  <si>
    <t>zhou153115@whut.edu.cn; anqichen@whut.edu.cn; kunchen@whut.edu.cn</t>
  </si>
  <si>
    <t>Anqi, Chen/HJP-3469-2023</t>
  </si>
  <si>
    <t>10.1109/ISCID.2017.16</t>
  </si>
  <si>
    <t>WOS:000427991100091</t>
  </si>
  <si>
    <t>Wang, HT; Li, YQ; Long, JY; Yu, TY; Gu, ZH</t>
  </si>
  <si>
    <t>Wang, Hongtao; Li, Yuanqing; Long, Jinyi; Yu, Tianyou; Gu, Zhenghui</t>
  </si>
  <si>
    <t>An asynchronous wheelchair control by hybrid EEG-EOG brain-computer interface</t>
  </si>
  <si>
    <t>COGNITIVE NEURODYNAMICS</t>
  </si>
  <si>
    <t>Brain-controlled wheelchair; Hybrid brain-computer interface; Asynchronous; Motor imagery; P300 potentials; Eye blinking</t>
  </si>
  <si>
    <t>BCI SYSTEM; P300; RHYTHM; SSVEP</t>
  </si>
  <si>
    <t>Wheelchair control requires multiple degrees of freedom and fast intention detection, which makes electroencephalography (EEG)-based wheelchair control a big challenge. In our previous study, we have achieved direction (turning left and right) and speed (acceleration and deceleration) control of a wheelchair using a hybrid brain-computer interface (BCI) combining motor imagery and P300 potentials. In this paper, we proposed hybrid EEG-EOG BCI, which combines motor imagery, P300 potentials, and eye blinking to implement forward, backward, and stop control of a wheelchair. By performing relevant activities, users (e.g., those with amyotrophic lateral sclerosis and locked-in syndrome) can navigate the wheelchair with seven steering behaviors. Experimental results on four healthy subjects not only demonstrate the efficiency and robustness of our brain-controlled wheelchair system but also indicate that all the four subjects could control the wheelchair spontaneously and efficiently without any other assistance (e.g., an automatic navigation system).</t>
  </si>
  <si>
    <t>[Wang, Hongtao; Li, Yuanqing; Long, Jinyi; Yu, Tianyou; Gu, Zhenghui] S China Univ Technol, Sch Automat Sci &amp; Engn, Guangzhou 510640, Guangdong, Peoples R China; [Wang, Hongtao] Wuyi Univ, Sch Informat Engn, Jiangmen 529020, Peoples R China; [Wang, Hongtao] Engn Res Ctr Mass Biometr Informat Proc, Jiangmen, Guangdong, Peoples R China</t>
  </si>
  <si>
    <t>South China University of Technology; Wuyi University</t>
  </si>
  <si>
    <t>Li, YQ (corresponding author), S China Univ Technol, Sch Automat Sci &amp; Engn, Guangzhou 510640, Guangdong, Peoples R China.</t>
  </si>
  <si>
    <t>auyqli@scut.edu.cn</t>
  </si>
  <si>
    <t>; WANG, Hongtao/AAH-1233-2020</t>
  </si>
  <si>
    <t>Wang, Hongtao/0000-0002-6564-5753;</t>
  </si>
  <si>
    <t>10.1007/s11571-014-9296-y</t>
  </si>
  <si>
    <t>WOS:000341809400005</t>
  </si>
  <si>
    <t>Cho, JH; Jeong, JH; Shim, KH; Kim, DJ; Lee, SW</t>
  </si>
  <si>
    <t>Cho, Jeong-Hyun; Jeong, Ji-Hoon; Shim, Kyung-Hwan; Kim, Dong-Joo; Lee, Seong-Whan</t>
  </si>
  <si>
    <t>Classification of Hand Motions within EEG Signals for Non-Invasive BCI-based Robot Hand Control</t>
  </si>
  <si>
    <t>2018 IEEE INTERNATIONAL CONFERENCE ON SYSTEMS, MAN, AND CYBERNETICS (SMC)</t>
  </si>
  <si>
    <t>a robot hand; brain-computer interface (BCI); electroencephalography (EEG); motor imagery (MI); motor execution (ME)</t>
  </si>
  <si>
    <t>The development of brain-computer interface (BCI) systems that are based on electroencephalography (EEG), and driven by spontaneous movement intentions, is useful for rehabilitation and external device control. In this study, we analyzed the decoding of five different hand executions and imageries from EEG signals, for a robot hand control. Five healthy subjects participated in this experiment. They executed and imagined five sustained hand motions. In this motor execution (ME) and motor imagery (MI) experiment, we proposed a subject-specific time interval selection method, and we used common spatial patterns (CSP) and the regularized linear discriminant analysis (RLDA) for the data analysis. As a result, we classified the five different hand motions offline and obtained average classification accuracies of 56.83% for ME, and 51.01% for MI, respectively. Both results were higher than the obtained accuracies from a comparison method that used a standard fixed time interval method. This result is encouraging, and the proposed method could potentially be used in future applications, such as a BCI-driven robot hand control.</t>
  </si>
  <si>
    <t>[Cho, Jeong-Hyun; Jeong, Ji-Hoon; Shim, Kyung-Hwan; Kim, Dong-Joo; Lee, Seong-Whan] Korea Univ, Dept Brain &amp; Cognit Engn, Seoul, South Korea</t>
  </si>
  <si>
    <t>jh_cho@korea.ac.kr; jh_jeong@korea.ac.kr; kh_shim@korea.ac.kr; dongjookim@korea.ac.kr; sw.lee@korea.ac.kr</t>
  </si>
  <si>
    <t>; Jeong, Ji-Hoon/AAL-5143-2020</t>
  </si>
  <si>
    <t>JEONG, JI-HOON/0000-0001-6940-2700;</t>
  </si>
  <si>
    <t>10.1109/SMC.2018.00097</t>
  </si>
  <si>
    <t>WOS:000459884800087</t>
  </si>
  <si>
    <t>Xu, JH; Liu, TL; Wu, ZL; Wu, Z; Li, Y; Nürnberger, A</t>
  </si>
  <si>
    <t>Fortino, G; Wan, FY; Nurnberger, A; Kaber, D; Falcone, R; Mendonca, D; Yu, ZW; Guerrieri, A</t>
  </si>
  <si>
    <t>Xu, Jiahua; Liu, Tung-Lung; Wu, Zhenglei; Wu, Zheng; Li, Yang; Nuernberger, Andreas</t>
  </si>
  <si>
    <t>Neurorehabilitation System in Virtual Reality with Low-Cost BCI Devices</t>
  </si>
  <si>
    <t>PROCEEDINGS OF THE 2020 IEEE INTERNATIONAL CONFERENCE ON HUMAN-MACHINE SYSTEMS (ICHMS)</t>
  </si>
  <si>
    <t>Brain computer interface (BCI); virtual reality (VR); motor imagery; electroencephalogram (EEG); rehabilitation</t>
  </si>
  <si>
    <t>Brain-computer interface (BCI) has gained great attention from the public due to its ability and portability for external devices control or neuron rehabilitation using EEG from scalps. virtual reality (VR) provides users an immersive interaction environment via human-machine interfaces (HMI).This paper proposes an motor imagery based real-time control system for rehabilitation by using low-cost BCI to control a robotic arm in VR.</t>
  </si>
  <si>
    <t>[Xu, Jiahua; Liu, Tung-Lung; Wu, Zhenglei; Wu, Zheng; Li, Yang; Nuernberger, Andreas] Otto von Guericke Univ, Magdeburg, Germany</t>
  </si>
  <si>
    <t>Otto von Guericke University</t>
  </si>
  <si>
    <t>Xu, JH (corresponding author), Otto von Guericke Univ, Magdeburg, Germany.</t>
  </si>
  <si>
    <t>jiahua.xu@ovgu.de</t>
  </si>
  <si>
    <t>; XU, JIAHUA/ONI-8939-2025</t>
  </si>
  <si>
    <t>Nurnberger, Andreas/0000-0003-4311-0624; Wu, Zheng/0000-0003-4207-3657; XU, JIAHUA/0000-0003-3672-373X</t>
  </si>
  <si>
    <t>10.1109/ichms49158.2020.9209560</t>
  </si>
  <si>
    <t>WOS:000872028200012</t>
  </si>
  <si>
    <t>Moufassih, M; Tarahi, O; Hamou, S; Agounad, S; Azami, HI</t>
  </si>
  <si>
    <t>Benhala, B; Mansouri, K; Raihani, A; Qbadou, M</t>
  </si>
  <si>
    <t>Moufassih, Mustapha; Tarahi, Oussama; Hamou, Soukaina; Agounad, Said; Azami, Hafida Idrissi</t>
  </si>
  <si>
    <t>Spectral feature extraction from EEG based motor imagery using common spatial patterns</t>
  </si>
  <si>
    <t>2022 2ND INTERNATIONAL CONFERENCE ON INNOVATIVE RESEARCH IN APPLIED SCIENCE, ENGINEERING AND TECHNOLOGY (IRASET'2022)</t>
  </si>
  <si>
    <t>Brain-computer Interface (BCI); Common spatial patterns (CSP); Electroencephalography (EEG); Motor imagery (Ml); Feature extraction</t>
  </si>
  <si>
    <t>BRAIN-COMPUTER INTERFACE; MU-RHYTHM; CLASSIFICATION; WHEELCHAIR; SIGNAL</t>
  </si>
  <si>
    <t>Noninvasive MI-BCI (Motor imagery Brain computer interface) allows people to communicate and control external devices through EEG signals. Feature extraction is an important bloc to obtain a reliable classification accuracy of motor imagery tasks. Common spatial patterns (CSP) is a frequently used algorithm for EEG feature extraction, but its performance relies on the subject-specific frequency band. This paper shows the powerful effect of CSP in discrimination between two classes of motor imagery (left and right hand). Using projected training data on CSP this study demonstrates that subject-specific frequency bands can easily be determined. The experimental results obtained using two public EEG datasets (BCI competition IV dataset 2a and 2b) demonstrate that the subject-specific frequency bands extracted in offiine analysis phase using CSP help improve the classification performance of MI- BCI.</t>
  </si>
  <si>
    <t>[Moufassih, Mustapha; Tarahi, Oussama; Hamou, Soukaina; Agounad, Said; Azami, Hafida Idrissi] Fac Sci, Lab Metrol &amp; Informat Proc, Ibn Zohr, Agadir, Morocco</t>
  </si>
  <si>
    <t>Ibn Zohr University of Agadir</t>
  </si>
  <si>
    <t>Moufassih, M (corresponding author), Fac Sci, Lab Metrol &amp; Informat Proc, Ibn Zohr, Agadir, Morocco.</t>
  </si>
  <si>
    <t>mu.moufassih@gmail.com</t>
  </si>
  <si>
    <t>AGOUNAD, Said/LEM-5867-2024</t>
  </si>
  <si>
    <t>WOS:000827851000170</t>
  </si>
  <si>
    <t>Ferreira, SKS; Silveira, AS; Pereira, A</t>
  </si>
  <si>
    <t>Bastos-Filho, TF; Caldeira, EMD; Frizera-Neto, A</t>
  </si>
  <si>
    <t>Ferreira, S. K. S.; Silveira, A. S.; Pereira, A.</t>
  </si>
  <si>
    <t>EEG-Based Motor Imagery Classification Using Multilayer Perceptron Neural Network</t>
  </si>
  <si>
    <t>XXVII BRAZILIAN CONGRESS ON BIOMEDICAL ENGINEERING, CBEB 2020</t>
  </si>
  <si>
    <t>Motor imagery; MLP; Periodogram; DWT</t>
  </si>
  <si>
    <t>WAVELET ENTROPY</t>
  </si>
  <si>
    <t>Signals derived from brain activity can be used as commands to control an external device or application in Brain-Computer Interface (BCI) systems. Electroencephalography (EEG) is widely used to record brain signals due to its non-invasive nature, relatively low-cost, and high temporal resolution. BCI performance depends on choices regarding available options for signal pre-processing, classifiers, and feature extraction techniques. In this paper, we describe the use of an Artificial Neural Network (ANN) based on a Multilayer Perceptron (MLP) architecture as a classifier to identify motor imagery tasks using EEG signals from nine subjects of an experimental data set. BCIs based on brain signals recorded during motor imagery tasks use the changes in amplitude of specific cortical bands as features. Moreover, we evaluated the effect of systematically decreasing the number of inputs (EEG channels) on the classifier performance. The results show that a MLP classifier was able to segregate the EEG signature of four motor imagery tasks with at least 70% accuracy using at least 12 EEG channels.</t>
  </si>
  <si>
    <t>[Ferreira, S. K. S.; Pereira, A.] Fed Univ Para, Inst Technol, Belem, Para, Brazil; [Silveira, A. S.] Fed Univ Para, Lab Control &amp; Syst, Belem, Para, Brazil</t>
  </si>
  <si>
    <t>Universidade Federal do Para; Universidade Federal do Para</t>
  </si>
  <si>
    <t>Ferreira, SKS (corresponding author), Fed Univ Para, Inst Technol, Belem, Para, Brazil.</t>
  </si>
  <si>
    <t>shirley.ferreira@itec.ufpa.br</t>
  </si>
  <si>
    <t>da Silva Ferreira, Shirley Karolina/0000-0003-4787-869X</t>
  </si>
  <si>
    <t>10.1007/978-3-030-70601-2_273</t>
  </si>
  <si>
    <t>WOS:000871993700272</t>
  </si>
  <si>
    <t>Hrisca-Eva, OD</t>
  </si>
  <si>
    <t>Hrisca-Eva, Oana-Diana</t>
  </si>
  <si>
    <t>Motor Tasks Classification Using Phase Locking Value in a BCI Based EEG Paradigm</t>
  </si>
  <si>
    <t>BALNEO AND PRM RESEARCH JOURNAL</t>
  </si>
  <si>
    <t>brain computer interface; phase synchronization; upper and lower limb disabilities</t>
  </si>
  <si>
    <t>MENTAL TASKS; SYNCHRONIZATION; RECOGNITION</t>
  </si>
  <si>
    <t>Brain-computer interface (BCI) is developing very quickly with applications extending to medical and non-medical fields. Electroencephalography (EEG) is used in BCI to detect and analyze brain signals. An approach based on phase synchronization was tested on two datasets (one with EEG signals recorded from 15 healthy subjects and one with EEG signals recorded from 9 subjects with disabilities). Phase locking value was tested as feature extraction method from EEG signals. k-nearest neighbor (KNN) and support vector machine (SVM) classifiers were applied for discrimination between tasks (right hand motor imagery, left hand motor imagery and feet motor imagery). Classification rates above 81% obtained with kNN and 92% achieved with SVM indicate that phase synchronization based method can be exploited in developing BCI systems for controlling and assisting people with upper and lower limb disabilities.</t>
  </si>
  <si>
    <t>[Hrisca-Eva, Oana-Diana] Univ Med &amp; Pharm Grigore T Popa Iasi, Fac Med Bioengn, Dept Biomed Sci, Iasi 700454, Romania</t>
  </si>
  <si>
    <t>Grigore T Popa University of Medicine &amp; Pharmacy</t>
  </si>
  <si>
    <t>Hrisca-Eva, OD (corresponding author), Univ Med &amp; Pharm Grigore T Popa Iasi, Fac Med Bioengn, Dept Biomed Sci, Iasi 700454, Romania.</t>
  </si>
  <si>
    <t>oana.hrisca@umfiasi.ro</t>
  </si>
  <si>
    <t>Oana-Diana, Hrisca-Eva/AAR-5225-2021</t>
  </si>
  <si>
    <t>10.12680/balneo.2024.760</t>
  </si>
  <si>
    <t>Rehabilitation</t>
  </si>
  <si>
    <t>WOS:001399949600021</t>
  </si>
  <si>
    <t>Jiang, LJ; Tham, E; Yeo, M; Wang, ZX; Jiang, B</t>
  </si>
  <si>
    <t>Jiang, Lijun; Tham, Eugene; Yeo, Mervyn; Wang, Zaixing; Jiang, Bo</t>
  </si>
  <si>
    <t>Motor Imagery Controlled Wheelchair System</t>
  </si>
  <si>
    <t>PROCEEDINGS OF THE 2014 9TH IEEE CONFERENCE ON INDUSTRIAL ELECTRONICS AND APPLICATIONS (ICIEA)</t>
  </si>
  <si>
    <t>IEEE Conference on Industrial Electronics and Applications</t>
  </si>
  <si>
    <t>Brain computer interface(BCI); motor imagery (MI); electroencephalogram (EEG); Electromyography (EMG); Wheelchair</t>
  </si>
  <si>
    <t>The motor imagery (MI) component of electroencephalogram (EEG) recordings has a substantial role in scientific applications. It is one of the commonest methodologies adopted by brain-computer interface (BCI) researchers. However, many MI based device is expensive and bulky due to the dependence on complex EEG sensing system. To overcome the drawbacks, a low-cost prototype is developed, leveraging on motor imagery component of EEG signal and Electromyography (EMG) signal. Based on signals from 14 channels, the system with friendly GUI, efficient algorithm, and easy-to-use dry sensors can detect and determine at least 4 movement directions of intention of a user: left, right, forward, backward. The proposed system is cost-effective and easy to use. The system has been successfully incorporated into a wheelchair control platform. The application of the system can extend to not only people who are suffering from spinal cord injuries, but also elderly or people suffering from limb muscle disorder.</t>
  </si>
  <si>
    <t>[Jiang, Lijun; Tham, Eugene; Yeo, Mervyn] Republ Polytech, Sch Engn, 9 Woodlands Ave 9, Singapore 738964, Singapore; [Wang, Zaixing; Jiang, Bo] Lanzhou Jiaotong Univ, Sch Elect Informat, Lanzhou, Peoples R China</t>
  </si>
  <si>
    <t>Lanzhou Jiaotong University</t>
  </si>
  <si>
    <t>Jiang, LJ (corresponding author), Republ Polytech, Sch Engn, 9 Woodlands Ave 9, Singapore 738964, Singapore.</t>
  </si>
  <si>
    <t>jiang_lijun@rp.edu.sg</t>
  </si>
  <si>
    <t>WOS:000349638300101</t>
  </si>
  <si>
    <t>Lu, CF; Tsai, SJ; Hsiao, C; Lu, HM; Jao, CW; Wang, PS; Wu, YT</t>
  </si>
  <si>
    <t>Lu, Chia-Feng; Tsai, Sheng-Jia; Hsiao, Chun; Lu, Han-Mei; Jao, Chi-Wen; Wang, Po-Shan; Wu, Yu-Te</t>
  </si>
  <si>
    <t>Consistency of Motor-Imagery Frequency Band is Associated with the Performance of Real-Time Brain Computer Interface</t>
  </si>
  <si>
    <t>2019 INTERNATIONAL AUTOMATIC CONTROL CONFERENCE (CACS)</t>
  </si>
  <si>
    <t>CACS International Automatic Control Conference</t>
  </si>
  <si>
    <t>Brain computer interface; motor imagery; electroencephalography; frequency band; classification</t>
  </si>
  <si>
    <t>In this study, we aimed to use the motor-imagery electroencephalography (EEG) signal to construct a Brain Computer Interface (BCI) system. We developed an EEG-based real-time cursor control system on LabVIEW platform. EEG signals of left or right motor imagery on C3, and C4 channels were collected using OpenBCI amplifier system. The experimental protocol consisted of a training stage and a self-controlled stage with several runs in each stage. In the training stage, EEG signals were collected while subjects were asked to look at the moving cursor with a constant speed toward left/right, and pretended the cursor was controlled by their imagination. In the self-controlled stage, the movement of the cursor was controlled based on the concordance between the classification results and preset direction. Ten subjects were enrolled in this study. We found that the classification rate was associated with the consistency of the individual ERD/ERS frequency bands across different runs. If a subject presented a stable frequency band for the motor imaginary, the classification rate of the developed BCI system can reach a satisfactory performance with the highest classification rate of 93%. In conclusion, our results showed that the efficacy of our BCI system highly relied on the stability of the individual frequency pattern.</t>
  </si>
  <si>
    <t>[Lu, Chia-Feng] Natl Yang Ming Univ, Dept Biomed Imaging &amp; Radiol Sci, Taipei, Taiwan; [Tsai, Sheng-Jia; Hsiao, Chun; Lu, Han-Mei; Jao, Chi-Wen; Wu, Yu-Te] Natl Yang Ming Univ, Inst Biophoton, Taipei, Taiwan; [Wang, Po-Shan] Taipei Municipal Gan Dau Hosp, Dept Neurol, Taipei, Taiwan</t>
  </si>
  <si>
    <t>National Yang Ming Chiao Tung University; National Yang Ming Chiao Tung University</t>
  </si>
  <si>
    <t>Wu, YT (corresponding author), Natl Yang Ming Univ, Inst Biophoton, Taipei, Taiwan.</t>
  </si>
  <si>
    <t>alvin4016@ym.edu.tw; tesciph1995@gmail.com; apply91122@gmail.com; amylutotora@gmail.com; c3665810@ms24.hinet.net; b8001071@yahoo.com.tw; ytwu@ym.edu.tw</t>
  </si>
  <si>
    <t>10.1109/cacs47674.2019.9024354</t>
  </si>
  <si>
    <t>Automation &amp; Control Systems</t>
  </si>
  <si>
    <t>WOS:000565624700002</t>
  </si>
  <si>
    <t>Sury, DA; Djamal, EC</t>
  </si>
  <si>
    <t>Ismail, IE; Hermawan, I; Rasyidin, MYB; Huzaifa, M; Muharram, AT; Marcheeta, N; Kurniawati, D; Yuly, AR; Agustin, M; Nalawati, RE; Nugrahadi, DT; Budiman, I</t>
  </si>
  <si>
    <t>Sury, Dimas A.; Djamal, Esmeralda C.</t>
  </si>
  <si>
    <t>Brain-Computer Interface of Motor Imagery and Emotion using Multiple Recurrent Neural Networks</t>
  </si>
  <si>
    <t>2021 4TH INTERNATIONAL CONFERENCE ON COMPUTER AND INFORMATICS ENGINEERING (IC2IE 2021)</t>
  </si>
  <si>
    <t>BCI; multiple RNN; emotion; motor imagery; wavelet filter</t>
  </si>
  <si>
    <t>Brain-Computer Interface (BCI) can control external devices without directly moving from processed brain signals. The performance of the BCI was determined mainly by the device used, one of which is the Electroencephalogram (EEG). There are variables of EEG signals commonly used as BCI actions, such as emotion, motor imagery, and concentration. These variables can be used single or multiple. Multivariable BCI actions add features to drive external devices from the brain directly. Each variable EEG signal has its characteristics, including the frequency band. Therefore, processing each variable as a separate network is an appropriate choice. One method often used to identify data series such as EEG signals is Recurrent Neural Networks (RNN). This paper proposed multiple RNN in motor imagery and emotion of EEG signal to drive BCI. The EEG signal was filtered at frequencies 8 - 30 Hz for the motor imagery and emotion variables. Both use the Wavelet transform. The experiment results gave 91.59% accuracy when using Multiple RNNs compared to a single RNN, which obtained an accuracy of 76.18%. Moreover, the use of Wavelets in filtering EEG signals increased the accuracy by 21.84%.</t>
  </si>
  <si>
    <t>[Sury, Dimas A.; Djamal, Esmeralda C.] Univ Jenderal Achmad Yani, Dept Informat, Cimahi, Indonesia</t>
  </si>
  <si>
    <t>Universitas Jenderal Achmad Yani</t>
  </si>
  <si>
    <t>Djamal, EC (corresponding author), Univ Jenderal Achmad Yani, Dept Informat, Cimahi, Indonesia.</t>
  </si>
  <si>
    <t>esmeralda.contessa@lecture.unjani.ac.id</t>
  </si>
  <si>
    <t>; Djamal, Esmeralda/AAB-6175-2021</t>
  </si>
  <si>
    <t>Andhika Sury, Dimas/0000-0001-8403-4352; Djamal, Esmeralda/0000-0002-9252-9416;</t>
  </si>
  <si>
    <t>10.1109/IC2IE53219.2021.9649403</t>
  </si>
  <si>
    <t>WOS:000850131100012</t>
  </si>
  <si>
    <t>Wang, HF; Dong, XJ; Chen, ZK; Shi, BE</t>
  </si>
  <si>
    <t>Wang, Haofei; Dong, Xujiong; Chen, Zhaokang; Shi, Bertram E.</t>
  </si>
  <si>
    <t>Hybrid Gaze/EEG Brain Computer Interface for Robot Arm Control on a Pick and Place Task</t>
  </si>
  <si>
    <t>Hybrid Brain Computer Interface (BCI); gaze control; human computer interaction; assistive technology; robotics; eye tracker; EEG; motor imagery</t>
  </si>
  <si>
    <t>MACHINE INTERFACE</t>
  </si>
  <si>
    <t>We describe a hybrid brain computer interface that integrates gaze information from an eye tracker with brain activity information measured by electroencephalography (EEG). Users explicitly control the end effector of a robot arm to move in one of four directions using motor imagery to perform a pick and place task. Measurements of the natural eye gaze behavior of subjects is used to infer the instantaneous intent of the users based on the past gaze trajectory. This information is integrated with the output of the EEG classifier and contextual information about the environment probabilistically using Bayesian inference. Our experiments demonstrate that subjects can achieve 100% task completion within three minutes and that the integration of EEG and gaze information significantly improves performance over either cue in isolation.</t>
  </si>
  <si>
    <t>[Wang, Haofei; Dong, Xujiong; Chen, Zhaokang; Shi, Bertram E.] Hong Kong Univ Sci &amp; Technol, Dept Elect &amp; Comp Engn, Kowloon, Hong Kong, Peoples R China; [Shi, Bertram E.] Hong Kong Univ Sci &amp; Technol, Div Biomed Engn, Kowloon, Hong Kong, Peoples R China</t>
  </si>
  <si>
    <t>Hong Kong University of Science &amp; Technology; Hong Kong University of Science &amp; Technology</t>
  </si>
  <si>
    <t>Wang, HF (corresponding author), Hong Kong Univ Sci &amp; Technol, Dept Elect &amp; Comp Engn, Kowloon, Hong Kong, Peoples R China.</t>
  </si>
  <si>
    <t>eebert@ust.hk</t>
  </si>
  <si>
    <t>Shi, Bertram/LIC-5933-2024</t>
  </si>
  <si>
    <t>Wang, Haofei/0000-0002-1199-9206; Shi, Bertram/0000-0001-9167-7495; Chen, Zhaokang/0000-0003-0237-0358</t>
  </si>
  <si>
    <t>WOS:000371717201188</t>
  </si>
  <si>
    <t>He, B; Baxter, B; Edelman, BJ; Cline, CC; Ye, WJW</t>
  </si>
  <si>
    <t>He, Bin; Baxter, Bryan; Edelman, Bradley J.; Cline, Christopher C.; Ye, Wenjing W.</t>
  </si>
  <si>
    <t>Noninvasive Brain-Computer Interfaces Based on Sensorimotor Rhythms</t>
  </si>
  <si>
    <t>PROCEEDINGS OF THE IEEE</t>
  </si>
  <si>
    <t>Brain-computer interface (BCI); brain-machine interface (BMI); electroencephalography (EEG); motor imagery; neural interface; sensorimotor rhythm</t>
  </si>
  <si>
    <t>DIRECT-CURRENT STIMULATION; SINGLE-TRIAL EEG; RESOLUTION ELECTROMAGNETIC TOMOGRAPHY; MOTOR IMAGERY TASKS; SOURCE RECONSTRUCTION; MENTAL PROSTHESIS; COMBINING P300; CLASSIFICATION; COMMUNICATION; PERFORMANCE</t>
  </si>
  <si>
    <t>Brain-computer interfaces (BCIs) have been explored in the field of neuroengineering to investigate how the brain can use these systems to control external devices. We review the principles and approaches we have taken to develop a sensorimotor rhythm electroencephalography (EEG)-based brain-computer interface (BCI). The methods include developing BCI systems incorporating the control of physical devices to increase user engagement, improving BCI systems by inversely mapping scalp-recorded EEG signals to the cortical source domain, integrating BCI with noninvasive neuromodulation strategies to improve learning, and incorporating mind-body awareness training to enhance BCI learning and performance. The challenges and merits of these strategies are discussed, together with recent findings. Our work indicates that the sensorimotor-rhythm-based noninvasive BCI has the potential to provide communication and control capabilities as an alternative to physiological motor pathways.</t>
  </si>
  <si>
    <t>[He, Bin; Baxter, Bryan; Edelman, Bradley J.; Cline, Christopher C.] Univ Minnesota, Dept Biomed Engn, Minneapolis, MN 55455 USA; [He, Bin] Univ Minnesota, Inst Engn Med, Minneapolis, MN 55455 USA; [Ye, Wenjing W.] NexGen Medtech LLC, St Paul, MN 55112 USA</t>
  </si>
  <si>
    <t>University of Minnesota System; University of Minnesota Twin Cities; University of Minnesota System; University of Minnesota Twin Cities</t>
  </si>
  <si>
    <t>He, B (corresponding author), Univ Minnesota, Dept Biomed Engn, Minneapolis, MN 55455 USA.</t>
  </si>
  <si>
    <t>binhe@umn.edu</t>
  </si>
  <si>
    <t>Edelman, Bradley/ABG-2295-2020; Bin, He/LSL-2119-2024</t>
  </si>
  <si>
    <t>Edelman, Bradley/0000-0002-7502-9620; Cline, Christopher/0000-0003-1442-8641; He, Bin/0000-0003-2944-8602;</t>
  </si>
  <si>
    <t>10.1109/JPROC.2015.2407272</t>
  </si>
  <si>
    <t>WOS:000355754000005</t>
  </si>
  <si>
    <t>Lu, YY; Wang, WB; Lian, BS; He, CC</t>
  </si>
  <si>
    <t>Lu, Yuyi; Wang, Wenbo; Lian, Baosheng; He, Chencheng</t>
  </si>
  <si>
    <t>Feature Extraction and Classification of Motor Imagery EEG Signals in Motor Imagery for Sustainable Brain-Computer Interfaces</t>
  </si>
  <si>
    <t>SUSTAINABILITY</t>
  </si>
  <si>
    <t>sustainable living; motor imagery EEG signal; multi-wavelet decomposition; feature fusion; SVM-AdaBoost algorithm</t>
  </si>
  <si>
    <t>ALGORITHM</t>
  </si>
  <si>
    <t>Motor imagery brain-computer interface (MI-BCI) systems hold the potential to restore motor function and offer the opportunity for sustainable autonomous living for individuals with a range of motor and sensory impairments. The feature extraction and classification of motor imagery EEG signals related to motor imagery brain-computer interface systems has become a research hotspot. To address the challenges of difficulty in feature extraction and low recognition rates of motor imagery EEG signals caused by individual variations in EEG signals, a classification algorithm for EEG signals based on multi-feature fusion and the SVM-AdaBoost algorithm was proposed to improve the recognition accuracy of motor imagery EEG signals. Initially, the electroencephalography (EEG) signals are preprocessed using Finite Impulse Response (FIR) filters, and a multi-wavelet framework is constructed based on the Morlet wavelet and the Haar wavelet. Subsequently, the preprocessed signals undergo multi-wavelet decomposition to extract energy features, Common Spatial Patterns (CSP) features, Autoregressive (AR) features, and Power Spectral Density (PSD) features. The extracted features are then fused, and the fused feature vector is normalized. Following that, classification is implemented within the SVM-AdaBoost algorithm. To enhance the adaptability of SVM-AdaBoost, the Grid Search method is employed to optimize the penalty parameter and kernel function parameter of the SVM. Concurrently, the Whale Optimization Algorithm is utilized to optimize the learning rate and number of weak learners within the AdaBoost ensemble, thereby refining the overall performance. In addition, the classification performance of the algorithm is validated using a brain-computer interface (BCI) dataset. In this study, it was found that the classification accuracy reached 95.37%. Via the analysis of motor imagery electroencephalography (EEG) signals, the activation patterns in different regions of the brain can be detected and identified, enabling the inference of user intentions and facilitating communication and control between the human brain and external devices.</t>
  </si>
  <si>
    <t>[Lu, Yuyi; Wang, Wenbo; Lian, Baosheng; He, Chencheng] Wuhan Univ Sci &amp; Technol, Coll Sci, Wuhan 430081, Peoples R China</t>
  </si>
  <si>
    <t>Wuhan University of Science &amp; Technology</t>
  </si>
  <si>
    <t>Wang, WB (corresponding author), Wuhan Univ Sci &amp; Technol, Coll Sci, Wuhan 430081, Peoples R China.</t>
  </si>
  <si>
    <t>luyuyi718@wust.edu.cn; wangwenbo@wust.edu.cn; lianbaosheng@wust.edu.cn; 18120214436@163.com</t>
  </si>
  <si>
    <t>wang, wenbo/0000-0002-2130-7672</t>
  </si>
  <si>
    <t>10.3390/su16156627</t>
  </si>
  <si>
    <t>Science &amp; Technology - Other Topics; Environmental Sciences &amp; Ecology</t>
  </si>
  <si>
    <t>WOS:001287235900001</t>
  </si>
  <si>
    <t>Dey, A; Bhattacharjee, S; Samanta, D</t>
  </si>
  <si>
    <t>Dey, Atanu; Bhattacharjee, Sourav; Samanta, Debasis</t>
  </si>
  <si>
    <t>Recognition of Motor Imagery Left and Right Hand Movement using EEG</t>
  </si>
  <si>
    <t>2016 IEEE INTERNATIONAL CONFERENCE ON RECENT TRENDS IN ELECTRONICS, INFORMATION &amp; COMMUNICATION TECHNOLOGY (RTEICT)</t>
  </si>
  <si>
    <t>electroencephalogram (EEG); brain computer interface (BCI); independent component analysis (ICA); support vector machine (SVM)</t>
  </si>
  <si>
    <t>COMPONENT</t>
  </si>
  <si>
    <t>Brain computer interface (BCI) is one of the recent trends for the development of electroencephalogram (EEG) signal based, a human controlling device for a motor disable person. This paper aims to detect the left and right hand movement of motor disable person using EEG signals with the usage of Independent component analysis (ICA) technique and support vector machine (SVM) classifier. For signal classification, the amalgamations of the frequency domain and time domain features are used. The proposed system obtains an accuracy of 83% to 90% by using the standard publicly available EEG database, where some existing methods are implemented on the same datasets to detect same, there are obtaining less than 80% accuracy.</t>
  </si>
  <si>
    <t>[Dey, Atanu; Samanta, Debasis] Indian Inst Technol, BCI HCI, Dept Comp Sci &amp; Engn, Res Lab, Kharagpur, W Bengal, India; [Bhattacharjee, Sourav] Indian Inst Technol, Dept Comp Sci &amp; Engn, Kharagpur, W Bengal, India</t>
  </si>
  <si>
    <t>Indian Institute of Technology System (IIT System); Indian Institute of Technology (IIT) - Kharagpur; Indian Institute of Technology System (IIT System); Indian Institute of Technology (IIT) - Kharagpur</t>
  </si>
  <si>
    <t>Dey, A (corresponding author), Indian Inst Technol, BCI HCI, Dept Comp Sci &amp; Engn, Res Lab, Kharagpur, W Bengal, India.</t>
  </si>
  <si>
    <t>atanu.dey.cse@gmail.com; souravb65@gmail.com; debasis.samanta.iitkgp@gmail.com</t>
  </si>
  <si>
    <t>Dey, Atanu/JTU-6153-2023</t>
  </si>
  <si>
    <t>WOS:000392871500088</t>
  </si>
  <si>
    <t>Pfurtscheller, G; Neuper, C</t>
  </si>
  <si>
    <t>Motor imagery and direct brain-computer communication</t>
  </si>
  <si>
    <t>brain-computer interface (BCI); EEG classification; event-related desynchronization (ERD); event-related synchronization (ERS); motor imagery</t>
  </si>
  <si>
    <t>EVENT-RELATED DESYNCHRONIZATION; TRIAL EEG CLASSIFICATION; CURSOR CONTROL; INTERFACE; MOVEMENT; SYNCHRONIZATION; CORTEX; AREA; POTENTIALS; HUMANS</t>
  </si>
  <si>
    <t>Motor imagery can modify the neuronal activity in the primary sensorimotor areas in a very similar way as observable with a real executed movement. One part of EEG-based brain-computer interfaces (BCI) is based on the recording and classification of circumscribed and transient EEG changes during different types of motor imagery such as, e.g., imagination of left-hand, right-hand, or foot movement. Features such as, e.g., band power or adaptive autoregressive parameters are either extracted in bipolar EEG recordings overlaying sensorimotor areas or from an array of electrodes located over central and neighboring areas. For the classification of the features, linear discrimination analysis and neural networks is used. Characteristic for the Graz BCI is that a classifier is set up in a learning session and updated after one or more sessions with online feedback using the procedure of rapid prototyping.  As a result, a discrimination of two brain states (e.g., left- versus right-hand movement imagination) can be reached within only a few days of training. At this time, a tetraplegic patient is able to operate an EEG-based control of a hand orthosis with nearly 100% classification accuracy, by mental imagination of specific motor commands.</t>
  </si>
  <si>
    <t>Graz Univ Technol, Inst Biomed Engn, Dept Med Informat, A-8010 Graz, Austria; Graz Univ Technol, Ludwig Boltzmann Inst Med Informat &amp; Neuroinforma, A-8010 Graz, Austria</t>
  </si>
  <si>
    <t>Graz University of Technology; Graz University of Technology; Ludwig Boltzmann Institute; Ludwig Boltzmann Institute for Medical Informatics</t>
  </si>
  <si>
    <t>Pfurtscheller, G (corresponding author), Graz Univ Technol, Inst Biomed Engn, Dept Med Informat, A-8010 Graz, Austria.</t>
  </si>
  <si>
    <t>pfu@dpmi.tu-graz.ac.at</t>
  </si>
  <si>
    <t>10.1109/5.939829</t>
  </si>
  <si>
    <t>WOS:000170371200010</t>
  </si>
  <si>
    <t>Abdalsalam, E; Yusoff, MZ; Malik, A; Kamel, NS; Mahmoud, D</t>
  </si>
  <si>
    <t>Abdalsalam, Eltaf; Yusoff, Mohd Zuki; Malik, Aamir; Kamel, Nidal S.; Mahmoud, Dalia</t>
  </si>
  <si>
    <t>Modulation of sensorimotor rhythms for brain-computer interface using motor imagery with online feedback</t>
  </si>
  <si>
    <t>SIGNAL IMAGE AND VIDEO PROCESSING</t>
  </si>
  <si>
    <t>Brain-computer interface (BCI); EEG; Sensorimotor rhythm (SMR); Motor imagery; Event-related desynchronization/synchronization (ERD/ERS)</t>
  </si>
  <si>
    <t>EEG-BASED COMMUNICATION; (DE)SYNCHRONIZATION; TASKS</t>
  </si>
  <si>
    <t>This research studies the impact of the imagination of movements and associated feedbacks on the modulation of sensorimotor electroencephalographic (EEG) rhythms, for the online controls of a brain-computer interface (BCI). Nine subjects with no physical or mental impairments were selected. The number of sessions was five: one calibration and four feedback sessions. A computer screen's cursor movement was controlled in one dimension using EEG-based four-class BCI involving motor imagery tasks of moving the right hand, the left hand, both hands, or both feet. Our findings reveal that the visual feedback applied during motor imagery movement modulates sensorimotor EEG rhythms clearly in the mu and beta bands. The analyses of event-related desynchronization/synchronization (ERD/ERS) suggest significant differences between brain activities in the calibration and feedback sessions; large ERDs during the online feedback sessions compared to that in the calibration session have been observed. The increasing ERDs in the online feedback session were noticed over the mu1 (8-10 Hz) and upper beta (18-24 Hz) rhythms, resulting in the cursor control success rate at 73.3%.</t>
  </si>
  <si>
    <t>[Abdalsalam, Eltaf; Yusoff, Mohd Zuki; Malik, Aamir; Kamel, Nidal S.] UTP, CISIR, Dept Elect &amp; Elect Engn, Seri Iskandar, Malaysia; [Mahmoud, Dalia] Al Neelain Univ, Dept Elect Engn, Khartoum, Sudan</t>
  </si>
  <si>
    <t>Yusoff, MZ (corresponding author), UTP, CISIR, Dept Elect &amp; Elect Engn, Seri Iskandar, Malaysia.</t>
  </si>
  <si>
    <t>mzuki_yusoff@utp.edu.my</t>
  </si>
  <si>
    <t>Malik, Aamir/C-6904-2009; Yusoff, Mohd Zuki/ABE-3628-2021</t>
  </si>
  <si>
    <t>Malik, Aamir/0000-0003-1085-3157; Yusoff, Mohd Zuki/0000-0001-9306-6655; Mahmoud, Dalia/0000-0003-1141-7904;</t>
  </si>
  <si>
    <t>10.1007/s11760-017-1193-5</t>
  </si>
  <si>
    <t>Engineering; Imaging Science &amp; Photographic Technology</t>
  </si>
  <si>
    <t>WOS:000426815900020</t>
  </si>
  <si>
    <t>An, Y; Shi, TW; Ren, L; Liu, WB; Jiang, XY</t>
  </si>
  <si>
    <t>An, Ying; Shi, Tianwei; Ren, Ling; Liu, Wanbo; Jiang, Xiaoyu</t>
  </si>
  <si>
    <t>UAV Control in 2D Space Based on Brain Computer Interface</t>
  </si>
  <si>
    <t>2017 4TH INTERNATIONAL CONFERENCE ON SYSTEMS AND INFORMATICS (ICSAI)</t>
  </si>
  <si>
    <t>International Conference on Systems and Informatics</t>
  </si>
  <si>
    <t>electroencephalogram; brain computer interface; motor imagery; spatial filter; adaptive linear discriminant analysis</t>
  </si>
  <si>
    <t>MOTOR IMAGERY; BCI</t>
  </si>
  <si>
    <t>An Electroencephalogram (EEG)-based Brain Computer Interface (BCI) system is put forward to implement the continuous control of an Unmanned Aerial Vehicle (UAV) in the indoor 2D space using the motor imagery (MI) tasks. This BCI system utilizes the discriminative time-and frequency-dependent spatial filter to extract the EEG features of MI tasks. The adaptive linear discriminant analysis (LDA) method is utilized to accomplish the classification of these extracted features. The calibration experiment and actual indoor 2D space controlling experiment presented the effectiveness and feasibility of using this BCI system to achieve the indoor 2D space continuous control of UAV.</t>
  </si>
  <si>
    <t>[An, Ying; Shi, Tianwei; Liu, Wanbo; Jiang, Xiaoyu] Univ Sci &amp; Technol, Sch Int Finance &amp; Banking, Anshan 114051, Liaoning, Peoples R China; [Ren, Ling] Res &amp; Dev Ctr Julong Co Ltd, Anshan, Peoples R China</t>
  </si>
  <si>
    <t>University of Science &amp; Technology Liaoning</t>
  </si>
  <si>
    <t>Shi, TW (corresponding author), Univ Sci &amp; Technol, Sch Int Finance &amp; Banking, Anshan 114051, Liaoning, Peoples R China.</t>
  </si>
  <si>
    <t>tianweiabbcc@163.com</t>
  </si>
  <si>
    <t>WOS:000427752100107</t>
  </si>
  <si>
    <t>Hwang, HJ; Kwon, K; Im, CH</t>
  </si>
  <si>
    <t>Hwang, Han-Jeong; Kwon, Kiwoon; Im, Chang-Hwang</t>
  </si>
  <si>
    <t>Neurofeedback-based motor imagery training for brain-computer interface (BCI)</t>
  </si>
  <si>
    <t>JOURNAL OF NEUROSCIENCE METHODS</t>
  </si>
  <si>
    <t>Brain-computer interface (BCI); EEG; Motor imagery; Real-time cortical activity monitoring; Cortical source imaging</t>
  </si>
  <si>
    <t>SINGLE-TRIAL EEG; CLASSIFICATION; COMMUNICATION; MOVEMENTS; HUMANS; STATE; POTENTIALS; PATTERNS; SYSTEM; TASKS</t>
  </si>
  <si>
    <t>In the present study, we propose a neurofeedback-based motor imagery training system for EEG-based brain-computer interface (BCI). The proposed system can help individuals get the feel of motor imagery by presenting them with real-time brain activation maps on their cortex. Ten healthy participants took part in our experiment, half of whom were trained by the suggested training system and the others did not use any training. All participants in the trained group succeeded in performing motor imagery after a series of trials to activate their motor cortex without any physical movements of their limbs. To confirm the effect of the suggested system, we recorded EEG signals for the trained group around sensorimotor cortex while they were imagining either left or right hand movements according to our experimental design, before and after the motor imagery training. For the control group, we also recorded EEG signals twice without any training sessions. The participants' intentions were then classified using a time-frequency analysis technique, and the results of the trained group showed significant differences in the sensorimotor rhythms between the signals recorded before and after training. Classification accuracy was also enhanced considerably in all participants after motor imagery training compared to the accuracy before training. On the other hand, the analysis results for the control EEG data set did not show consistent increment in both the number of meaningful time-frequency combinations and the classification accuracy, demonstrating that the suggested system can be used as a tool for training motor imagery tasks in BCI applications. Further, we expect that the motor imagery training system will be useful not only for BCI applications, but for functional brain mapping studies that utilize motor imagery tasks as well. (C) 2009 Elsevier B.V. All rights reserved.</t>
  </si>
  <si>
    <t>[Hwang, Han-Jeong; Kwon, Kiwoon; Im, Chang-Hwang] Yonsei Univ, Dept Biomed Engn, Wonju 220710, Kangwon Do, South Korea</t>
  </si>
  <si>
    <t>Yonsei University</t>
  </si>
  <si>
    <t>Im, CH (corresponding author), Yonsei Univ, Dept Biomed Engn, 234 Maeji Ri, Wonju 220710, Kangwon Do, South Korea.</t>
  </si>
  <si>
    <t>ich@yonsei.ac.kr</t>
  </si>
  <si>
    <t>Im, Chang-Hwan/ABB-4391-2021</t>
  </si>
  <si>
    <t>Im, Chang-Hwan/0000-0003-3795-3318</t>
  </si>
  <si>
    <t>APR 30</t>
  </si>
  <si>
    <t>10.1016/j.jneumeth.2009.01.015</t>
  </si>
  <si>
    <t>Biochemistry &amp; Molecular Biology; Neurosciences &amp; Neurology</t>
  </si>
  <si>
    <t>WOS:000265006700021</t>
  </si>
  <si>
    <t>Duan, F; Lin, DX; Li, WY; Zhang, Z</t>
  </si>
  <si>
    <t>Duan, Feng; Lin, Dongxue; Li, Wenyu; Zhang, Zhao</t>
  </si>
  <si>
    <t>Design of a Multimodal EEG-based Hybrid BCI System with Visual Servo Module</t>
  </si>
  <si>
    <t>IEEE TRANSACTIONS ON AUTONOMOUS MENTAL DEVELOPMENT</t>
  </si>
  <si>
    <t>Brain-computer interface (BCI); electroencephalogram (EEG); motor imagery (MI); service robot; steady-state visual evoked potential (SSVEP); virtual reality</t>
  </si>
  <si>
    <t>BRAIN-COMPUTER INTERFACES; MOTOR IMAGERY; SWITCH</t>
  </si>
  <si>
    <t>Current EEG-based brain-computer interface technologies mainly focus on how to independently use SSVEP, motor imagery, P300, or other signals to recognize human intention and generate several control commands. SSVEP and P300 require external stimulus, while motor imagery does not require it. However, the generated control commands of these methods are limited and cannot control a robot to provide satisfactory service to the user. Taking advantage of both SSVEP and motor imagery, this paper aims to design a hybrid BCI system that can provide multimodal BCI control commands to the robot. In this hybrid BCI system, three SSVEP signals are used to control the robot to move forward, turn left, and turn right; one motor imagery signal is used to control the robot to execute the grasp motion. In order to enhance the performance of the hybrid BCI system, a visual servo module is also developed to control the robot to execute the grasp task. The effect of the entire system is verified in a simulation platform and a real humanoid robot, respectively. The experimental results show that all of the subjects were able to successfully use this hybrid BCI system with relative ease.</t>
  </si>
  <si>
    <t>[Duan, Feng; Lin, Dongxue; Li, Wenyu; Zhang, Zhao] Nankai Univ, Coll Comp &amp; Control Engn, Dept Automat, Tianjin 300071, Peoples R China</t>
  </si>
  <si>
    <t>Nankai University</t>
  </si>
  <si>
    <t>Duan, F (corresponding author), Nankai Univ, Coll Comp &amp; Control Engn, Dept Automat, Tianjin 300071, Peoples R China.</t>
  </si>
  <si>
    <t>duanf@nankai.edu.cn; lindongxue1990@126.com; 312157867@qq.com; zhangzhao0807@sina.com</t>
  </si>
  <si>
    <t>Li, Wenyu/MEO-9803-2025</t>
  </si>
  <si>
    <t>10.1109/TAMD.2015.2434951</t>
  </si>
  <si>
    <t>Computer Science; Robotics; Neurosciences &amp; Neurology</t>
  </si>
  <si>
    <t>WOS:000366614800007</t>
  </si>
  <si>
    <t>Li, YQ; Long, JY; Yu, TY; Yu, ZL; Wang, CC; Zhang, HH; Guan, CT</t>
  </si>
  <si>
    <t>Li, Yuanqing; Long, Jinyi; Yu, Tianyou; Yu, Zhuliang; Wang, Chuanchu; Zhang, Haihong; Guan, Cuntai</t>
  </si>
  <si>
    <t>An EEG-Based BCI System for 2-D Cursor Control by Combining Mu/Beta Rhythm and P300 Potential</t>
  </si>
  <si>
    <t>IEEE TRANSACTIONS ON BIOMEDICAL ENGINEERING</t>
  </si>
  <si>
    <t>Brain-computer interface (BCI); EEG; motor imagery; mu rhythm; P300 potential; two-dimensional cursor control</t>
  </si>
  <si>
    <t>BRAIN-COMPUTER-INTERFACE; SINGLE TRIAL EEG; MENTAL PROSTHESIS; FEATURE-SELECTION; COMPETITION 2003; SIGNAL; CLASSIFICATION; MACHINES; MOVEMENT; ENSEMBLE</t>
  </si>
  <si>
    <t>Two-dimensional cursor control is an important and challenging issue in EEG-based brain-computer interfaces (BCIs). To address this issue, here we propose a new approach by combining two brain signals including Mu/Beta rhythm during motor imagery and P300 potential. In particular, a motor imagery detection mechanism and a P300 potential detection mechanism are devised and integrated such that the user is able to use the two signals to control, respectively, simultaneously, and independently, the horizontal and the vertical movements of the cursor in a specially designed graphic user interface. A real-time BCI system based on this approach is implemented and evaluated through an online experiment involving six subjects performing 2-D control tasks. The results attest to the efficacy of obtaining two independent control signals by the proposed approach. Furthermore, the results show that the system has merit compared with prior systems: it allows cursor movement between arbitrary positions.</t>
  </si>
  <si>
    <t>[Li, Yuanqing; Long, Jinyi; Yu, Tianyou; Yu, Zhuliang] S China Univ Technol, Sch Automat Sci &amp; Engn, Guangzhou 510640, Guangdong, Peoples R China; [Wang, Chuanchu; Zhang, Haihong; Guan, Cuntai] ASTAR, Inst Infocomm Res, Singapore 138632, Singapore</t>
  </si>
  <si>
    <t>South China University of Technology; Agency for Science Technology &amp; Research (A*STAR); A*STAR - Institute for Infocomm Research (I2R)</t>
  </si>
  <si>
    <t>; Guan, Cuntai/G-7835-2016; Zhuliang, Yu/KXR-1264-2024</t>
  </si>
  <si>
    <t>Guan, Cuntai/0000-0002-0872-3276; Long, Jinyi/0009-0005-8838-599X;</t>
  </si>
  <si>
    <t>10.1109/TBME.2010.2055564</t>
  </si>
  <si>
    <t>WOS:000283589600017</t>
  </si>
  <si>
    <t>Yang, YJ; Zhang, X; Zhang, X; Yu, CY</t>
  </si>
  <si>
    <t>Yang, Yingjie; Zhang, Xiu; Zhang, Xin; Yu, Changyi</t>
  </si>
  <si>
    <t>MCMTNet: Advanced network architectures for EEG-based motor imagery classification</t>
  </si>
  <si>
    <t>NEUROCOMPUTING</t>
  </si>
  <si>
    <t>Brain-machine interface; Motor imagery; Convolutional neural network; Temporal convolution network</t>
  </si>
  <si>
    <t>EMOTION RECOGNITION; TRANSFORMER; ATTENTION</t>
  </si>
  <si>
    <t>Brain-computer interface (BCI) technology converts electroencephalogram (EEG) signals into control commands to help patients with motor disorders, such as stroke and amyotrophic lateral sclerosis, interact with external devices and improve their quality of life. However, the decoding accuracy of motor imagery tasks remains a significant challenge for BCI. To address this problem, a new network model, MCMTNet, is proposed, which consists of a multi-domain convolution block, a multi-head attention block, and a temporal convolutional network block. The MCMTNet model directly takes raw EEG signals as input, eliminating the need for extensive preprocessing. The multi-domain convolution block effectively filters, extracts, and down-samples the original signal, the multi-head attention block enhances the inter-scale correlation of the EEG, and the temporal convolution network block improves the coherence between EEG signals. Experimental results show that the MCMTNet model achieves a classification accuracy of 86.37% on the BCI Competition IV 2a dataset, outperforming state-of-the-art models. To demonstrate the generalization ability of MCMTNet, a high gamma dataset is selected as a control, achieving a classification accuracy of 96.78%. These results indicate that MCMTNet performs well in motor imagery decoding tasks.</t>
  </si>
  <si>
    <t>[Yang, Yingjie; Zhang, Xiu; Zhang, Xin; Yu, Changyi] Tianjin Normal Univ, Tianjin Key Lab Wireless Mobile Commun &amp; Power Tra, Tianjin, Peoples R China; [Yang, Yingjie; Zhang, Xiu; Zhang, Xin; Yu, Changyi] Tianjin Normal Univ, Coll Artificial Intelligence, Tianjin, Peoples R China</t>
  </si>
  <si>
    <t>Tianjin Normal University; Tianjin Normal University</t>
  </si>
  <si>
    <t>Yang, YJ (corresponding author), Tianjin Normal Univ, Tianjin Key Lab Wireless Mobile Commun &amp; Power Tra, Tianjin, Peoples R China.</t>
  </si>
  <si>
    <t>kutangi@163.com; zhang210@126.com; ecemark@tjnu.edu.cn; bounchyu@163.com</t>
  </si>
  <si>
    <t>MAR 1</t>
  </si>
  <si>
    <t>10.1016/j.neucom.2024.129255</t>
  </si>
  <si>
    <t>JAN 2025</t>
  </si>
  <si>
    <t>WOS:001410395100001</t>
  </si>
  <si>
    <t>Ak, A; Topuz, V; Midi, I</t>
  </si>
  <si>
    <t>Ak, Ayca; Topuz, Vedat; Midi, Ipek</t>
  </si>
  <si>
    <t>Motor imagery EEG signal classification using image processing technique over GoogLeNet deep learning algorithm for controlling the robot manipulator</t>
  </si>
  <si>
    <t>Brain computer interface; EEG; GoogLeNet; Deep learning; Robot control</t>
  </si>
  <si>
    <t>BRAIN</t>
  </si>
  <si>
    <t>Controlling of a robotic arm using a brain-computer interface (BCI) is one of the most impressive applications. In this study, a novel method for the classification of motor imaging (MI) electroencephalography (EEG) signals are proposed for BCI. EEG signals are divided into three secondary tables, which were converted into spectrogram images. After applying the spectrogram method, the obtained images are divided into folder structures and deep learning is performed. In the deep learning stage, 400 images are obtained for each task as input to the Goo-gLeNet. After the deep learning completed, the presented system has been tested to imagine up, down, left and right movement to control the movement of the robot arm. It is observed that the robot arm performs the desired movement over 90% accuracy.</t>
  </si>
  <si>
    <t>[Ak, Ayca; Topuz, Vedat] Marmara Univ, Vocat Sch Tech Sci Goztepe, Istanbul, Turkey; [Midi, Ipek] Marmara Univ, Sch Med, Dept Neurol, Istanbul, Turkey</t>
  </si>
  <si>
    <t>Marmara University; Marmara University</t>
  </si>
  <si>
    <t>Ak, A (corresponding author), Marmara Univ, Vocat Sch Tech Sci Goztepe, Istanbul, Turkey.</t>
  </si>
  <si>
    <t>aycaak@marmara.edu.tr</t>
  </si>
  <si>
    <t>Midi, Ipek/AAW-9190-2020; Ak, Ayca/ABB-4645-2021; TOPUZ, VEDAT/C-5770-2011</t>
  </si>
  <si>
    <t>Ak, Ayca/0000-0002-3429-4962;</t>
  </si>
  <si>
    <t>A</t>
  </si>
  <si>
    <t>10.1016/j.bspc.2021.103295</t>
  </si>
  <si>
    <t>NOV 2021</t>
  </si>
  <si>
    <t>WOS:000718888600008</t>
  </si>
  <si>
    <t>Feller, S; Mohamed, AK</t>
  </si>
  <si>
    <t>Feller, Shani; Mohamed, Abdul-Khaaliq</t>
  </si>
  <si>
    <t>Investigating ICA for EEG Electrode Optimization for The Differentiation Between Right-Hand and Left-Hand Movements</t>
  </si>
  <si>
    <t>IFAC PAPERSONLINE</t>
  </si>
  <si>
    <t>BCI; Channel Reduction; EEG; ERD; ERS; ICA</t>
  </si>
  <si>
    <t>BRAIN COMPUTER INTERFACES; SINGLE-TRIAL EEG; MOTOR IMAGERY; CLASSIFICATION; SELECTION</t>
  </si>
  <si>
    <t>A bionic hand that is controlled by an electroencephalograph (EEG)-based brain computer interface (BCI) can aid motor impaired individuals to perform daily tasks. High-density EEG (128 electrodes) are suggested for the spatial resolution required to control these activities. This makes the system expensive, time-consuming to set up and uncomfortable for the user. This research explores the development of a novel electrode reduction method that combines independent component analysis (ICA) and features related to event-related desynchronization and synchronization (ERD/ERS) modulations to produce an optimised and reduced EEG electrode set. This method was tested for the differentiation between right-hand and left-hand movements. The results suggest that the optimal channel configuration produced was a 16-electrode configuration. The 16-electrode configuration obtained a classification accuracy of 70.51 %, using a linear support vector machine, which is a 12.01% loss in classification accuracy when compared to using the full 128-electrode set. This suggests that ICA could be used as a primary technique to reduce the number of electrodes of an EEG-based BCI controlling a bionic hand. The research also suggests that motor control information could be captured from widely distributed electrodes. Copyright (c) 2021 The Authors. This is an open access article under the CC BY-NC-ND license (https://creativecommons.org/licenses/by-nc-nd/4.0/)</t>
  </si>
  <si>
    <t>[Feller, Shani; Mohamed, Abdul-Khaaliq] Univ Witwatersrand, Private Bag 3, ZA-2050 Johannesburg, South Africa</t>
  </si>
  <si>
    <t>University of Witwatersrand</t>
  </si>
  <si>
    <t>Feller, S (corresponding author), Univ Witwatersrand, Private Bag 3, ZA-2050 Johannesburg, South Africa.</t>
  </si>
  <si>
    <t>shanifeller@gmail.com; Abdul-Khaaliq.Mohamed@wits.ac.za</t>
  </si>
  <si>
    <t>Mohamed, Abdul-Khaaliq/KCL-4349-2024</t>
  </si>
  <si>
    <t>Mohamed, Abdul-Khaaliq/0000-0002-1526-1364</t>
  </si>
  <si>
    <t>10.1016/j.ifacol.2021.12.019</t>
  </si>
  <si>
    <t>WOS:000797674800019</t>
  </si>
  <si>
    <t>Rajalakshmi, S; Almohimeed, I; Sikkandar, MY; Begum, SS</t>
  </si>
  <si>
    <t>Rajalakshmi, S.; Almohimeed, Ibrahim; Sikkandar, Mohamed Yacin; Begum, S. Sabarunisha</t>
  </si>
  <si>
    <t>Optimal Deep Learning-Based Recognition Model for EEG Enabled Brain-Computer Interfaces Using Motor-Imagery</t>
  </si>
  <si>
    <t>MEASUREMENT SCIENCE REVIEW</t>
  </si>
  <si>
    <t>Deep Learning (DL); Brain-Computer Interface (BCI); EEG Motor Imagery (MI); classification; Dragonfly algorithm; feature extraction</t>
  </si>
  <si>
    <t>Brain-Computer Interfaces (BCIs) facilitate the translation of brain activity into actionable commands and act as a crucial link between the human brain and the external environment. Electroencephalography (EEG)-based BCIs, which focus on motor imagery, have emerged as an important area of study in this domain. They are used in neurorehabilitation, neuroprosthetics, and gaming, among other applications. Optimal Deep Learning-Based Recognition for EEG Signal Motor Imagery (ODLR-EEGSM) is a novel approach presented in this article that aims to improve the recognition of motor imagery from EEG signals. The proposed method includes several crucial stages to improve the precision and effectiveness of EEG-based motor imagery recognition. The pre-processing phase starts with the Variation Mode Decomposition (VMD) technique, which is used to improve EEG signals. The EEG signals are decomposed into different oscillatory modes by VMD, laying the groundwork for subsequent feature extraction. Feature extraction is a crucial component of the ODLR-EEGSM method. In this study, we use Stacked Sparse Auto Encoder (SSAE) models to identify significant patterns in the pre-processed EEG data. Our approach is based on the classification model using Deep Wavelet Neural Network (DWNN) optimized with Chaotic Dragonfly Algorithm (CDFA). CDFA optimizes the weight and bias values of the DWNN, significantly improving the classification accuracy of motor imagery. To evaluate the efficacy of the ODLR-EEGSM method, we use benchmark datasets to perform rigorous performance validation. The results show that our approach outperforms current methods in the classification of EEG motor imagery, confirming its promising performance. This study has the potential to make brain-computer interface applications in various fields more accurate and efficient, and pave the way for brain-controlled interactions with external systems and devices.</t>
  </si>
  <si>
    <t>[Rajalakshmi, S.] Dr NGP Inst Technol, Dept Artificial Intelligence &amp; Data Sci, Coimbatore, India; [Almohimeed, Ibrahim; Sikkandar, Mohamed Yacin] Majmaah Univ, Coll Appl Med Sci, Dept Med Equipment Technol, Majmaah, Saudi Arabia; [Begum, S. Sabarunisha] PSR Engn Coll, Dept Biotechnol, Sivakasi, India</t>
  </si>
  <si>
    <t>Majmaah University</t>
  </si>
  <si>
    <t>Rajalakshmi, S (corresponding author), Dr NGP Inst Technol, Dept Artificial Intelligence &amp; Data Sci, Coimbatore, India.</t>
  </si>
  <si>
    <t>mrajislm@hotmail.com; i.almohimeed@mu.edu.sa; m.sikkandar@mu.edu.sa; sabarunishabegum@psr.edu.in</t>
  </si>
  <si>
    <t>Begum S, Sabarunisha/K-8373-2019; AlMohimeed, Ibrahim/HPH-0540-2023; S, rajalakshmi/AFV-2063-2022; SIKKANDAR, MOHAMED YACIN/D-3954-2019; Begum, Sabarunisha Begum S/K-8373-2019</t>
  </si>
  <si>
    <t>Begum S, Sabarunisha/0000-0002-8954-6004; S, RAJALAKSHMI/0000-0003-4768-1029;</t>
  </si>
  <si>
    <t>DEC 1</t>
  </si>
  <si>
    <t>10.2478/msr-2023-0031</t>
  </si>
  <si>
    <t>Instruments &amp; Instrumentation</t>
  </si>
  <si>
    <t>WOS:001111312600005</t>
  </si>
  <si>
    <t>Eskandari, P; Erfanian, A</t>
  </si>
  <si>
    <t>Eskandari, Parvaneh; Erfanian, Abbas</t>
  </si>
  <si>
    <t>Improving the Performance of Brain-Computer Interface through Meditation Practicing</t>
  </si>
  <si>
    <t>2008 30th Annual International Conference of the IEEE Engineering in Medicine and Biology Society, Vols 1-8</t>
  </si>
  <si>
    <t>MOTOR IMAGERY; EEG; CLASSIFICATION; MEMORY; RHYTHM; TASK</t>
  </si>
  <si>
    <t>Cognitive tasks using motor imagery have been used for generating and controlling EEG activity in most brain-computer interface (BCI). Nevertheless, during the performance of a particular mental task, different factors such as concentration, attention, level of consciousness and the difficulty of the task, may be affecting the changes in the EEG activity. Accordingly, training the subject to consistently and reliably produce and control the changes in the EEG signals is a critical issue in developing a BCI system. In this work, we used meditation practice to enhance the mind controllability during the performance of a mental task in a BCI system. The mental states to be discriminated are the imaginative hand movement and the idle state. The experiments were conducted on two groups of subject, meditation group and control group. The time-frequency analysis of EEG signals for meditation practitioners showed an event-related desynchronization (ERD) of beta rhythm before imagination during resting state. In addition, a strong event-related synchronization (ERS) of beta rhythm was induced in frequency around 25 Hz during hand motor imagery. The results demonstrated that the meditation practice can improve the classification accuracy of EEG patterns. The average classification accuracy was 88.73% in the meditation group, while it was 70.28% in the control group. An accuracy as high as 98.0% was achieved in the meditation group.</t>
  </si>
  <si>
    <t>[Eskandari, Parvaneh; Erfanian, Abbas] Iran Univ Sci &amp; Technol, Fac Elect Engn, Dept Biomed Engn, Tehran, Iran</t>
  </si>
  <si>
    <t>Iran University Science &amp; Technology</t>
  </si>
  <si>
    <t>Eskandari, P (corresponding author), Iran Univ Sci &amp; Technol, Fac Elect Engn, Dept Biomed Engn, Tehran, Iran.</t>
  </si>
  <si>
    <t>Erfanian@iust.ac.ir</t>
  </si>
  <si>
    <t>; Erfanian Omidvar, Abbas/T-1870-2018</t>
  </si>
  <si>
    <t>Erfanian, Abbas/0000-0003-0128-4474;</t>
  </si>
  <si>
    <t>10.1109/IEMBS.2008.4649239</t>
  </si>
  <si>
    <t>WOS:000262404500166</t>
  </si>
  <si>
    <t>Kolathod, MJT; Sanjay, M</t>
  </si>
  <si>
    <t>Kolathod, Muhamed Jishad Thrikkannoor; Sanjay, M.</t>
  </si>
  <si>
    <t>Use of covariance matrix images for electroencephalography signal classification for multiclass motor imagery-based brain computer interface</t>
  </si>
  <si>
    <t>INTERNATIONAL JOURNAL OF IMAGING SYSTEMS AND TECHNOLOGY</t>
  </si>
  <si>
    <t>AlexNet; BCI; brain-machine interface; CNN; covariance matrices; EEG classification; transfer learning</t>
  </si>
  <si>
    <t>Electroencephalogram (EEG) signals can be used to control devices using brain computer interface (BCI) systems, which offer assistance to patients with neuromuscular diseases. This article aims to determine the feasibility of using spatial covariance matrices with deep convolutional neural networks for multiclass motor imagery (MI) task classification for EEG-based BCIs. Covariance matrices derived from multichannel EEG data are converted into color-scaled images, which are used to train the AlexNet neural network using transfer learning. Samples of 2-s duration are extracted every 200 ms intervals from each MI activity EEG eventually increasing the training data size sixfold and reducing the latency in real-time implementations. Observed the performance using two popular publicly available BCI datasets for two-class and four-class MI classification. BCI competition IV Dataset IIa has shown average accuracy of 93.99% (k = 0.88) for two-class and 86.70% (k = 0.82) for four-class MI classification. BCI competition III Dataset IVa exhibited average accuracy of 97.02% (k = 0.94) for two-class classification. Good performance was observed for training with cross-subject data for two-class and four-class classification. The proposed method has shown improved accuracy for multiclass MI classification compared with existing works. The CNN is able to extract features from the covariance matrix and classify the MI data with reasonable accuracy. Since this method can handle large-dimension data, dimension reduction, and source separation techniques are not required.</t>
  </si>
  <si>
    <t>[Kolathod, Muhamed Jishad Thrikkannoor; Sanjay, M.] Natl Inst Technol Calicut, Dept Elect Engn, Kozhikode 673601, Kerala, India</t>
  </si>
  <si>
    <t>National Institute of Technology (NIT System); National Institute of Technology Calicut</t>
  </si>
  <si>
    <t>Kolathod, MJT (corresponding author), Natl Inst Technol Calicut, Dept Elect Engn, Kozhikode 673601, Kerala, India.</t>
  </si>
  <si>
    <t>jishadtk@live.com</t>
  </si>
  <si>
    <t>; Jishad T K, Muhamed/KHZ-1666-2024; M, Sanjay/LDE-8532-2024</t>
  </si>
  <si>
    <t>, MUHAMED JISHAD T K/0000-0003-2315-411X;</t>
  </si>
  <si>
    <t>10.1002/ima.22935</t>
  </si>
  <si>
    <t>JUL 2023</t>
  </si>
  <si>
    <t>Engineering; Optics; Imaging Science &amp; Photographic Technology</t>
  </si>
  <si>
    <t>WOS:001022755500001</t>
  </si>
  <si>
    <t>Augustian, M; Réhman, SU; Sandvig, A; Kotikawatte, T; Mi, YC; Evensmoen, HR</t>
  </si>
  <si>
    <t>Karwowski, W; Ahram, T</t>
  </si>
  <si>
    <t>Augustian, Midhumol; Rehman, Shafiq Ur; Sandvig, Axel; Kotikawatte, Thivra; Mi Yongcui; Evensmoen, Hallvard Roe</t>
  </si>
  <si>
    <t>EEG Analysis from Motor Imagery to Control a Forestry Crane</t>
  </si>
  <si>
    <t>INTELLIGENT HUMAN SYSTEMS INTEGRATION, IHSI 2018</t>
  </si>
  <si>
    <t>Brain-computer interface (BCI); Mu-wave; Motor imagery; Event-related desynchronization (ERD); Event-related synchronization (ERS); Forestry crane; Assistive technologies; HCI</t>
  </si>
  <si>
    <t>Brain-computer interface (BCI) systems can provide people with ability to communicate and control real world systems using neural activities. Therefore, it makes sense to develop an assistive framework for command and control of a future robotic system which can assist the human robot collaboration. In this paper, we have employed electroencephalographic (EEG) signals recorded by electrodes placed over the scalp. The human-hand movement based motor imagery mentalization is used to collect brain signals over the motor cortex area. The collected mu-wave (8-13 Hz) EEG signals were analyzed with event-related desynchronization/synchronization (ERD/ERS) quantification to extract a threshold between hand grip and release movement and this information can be used to control forestry crane grasping and release functionality. The experiment was performed with four healthy persons to demonstrate the proof-of concept BCI system. From this study, it is demonstrated that the proposed method has potential to assist the manual operation of crane operators performing advanced task with heavy cognitive work load.</t>
  </si>
  <si>
    <t>[Augustian, Midhumol; Rehman, Shafiq Ur; Mi Yongcui] Umea Univ, Dept Appl Phys &amp; Elect TFE, Umea, Sweden; [Sandvig, Axel; Kotikawatte, Thivra] Umea Univ, Div Neuro Head &amp; Neck, Umea, Sweden; [Sandvig, Axel; Evensmoen, Hallvard Roe] Norwegian Univ Sci &amp; Technol NTNU, Trondheim, Norway</t>
  </si>
  <si>
    <t>Umea University; Umea University; Norwegian University of Science &amp; Technology (NTNU)</t>
  </si>
  <si>
    <t>Réhman, SU (corresponding author), Umea Univ, Dept Appl Phys &amp; Elect TFE, Umea, Sweden.</t>
  </si>
  <si>
    <t>shafiq.urrehman@umu.se</t>
  </si>
  <si>
    <t>Evensmoen, Hallvard/AAP-2509-2020; Rehman, Shafiq/AAK-1221-2021</t>
  </si>
  <si>
    <t>10.1007/978-3-319-73888-8_44</t>
  </si>
  <si>
    <t>WOS:000835696800044</t>
  </si>
  <si>
    <t>Mahmoudi, B; Erfanian, A</t>
  </si>
  <si>
    <t>Mahmoudi, Babak; Erfanian, Abbas</t>
  </si>
  <si>
    <t>Electro-encephalogram based brain-computer interface: improved performance by mental practice and concentration skills</t>
  </si>
  <si>
    <t>MEDICAL &amp; BIOLOGICAL ENGINEERING &amp; COMPUTING</t>
  </si>
  <si>
    <t>EEG; neural network; brain-computer interface; mental practice; meditation</t>
  </si>
  <si>
    <t>MOTOR IMAGERY; EEG; CLASSIFICATION; COMMUNICATION; POTENTIALS; MOVEMENT; EMOTIONS; SLEEP</t>
  </si>
  <si>
    <t>Mental imagination is the essential part of the most EEG-based communication systems. Thus, the quality of mental rehearsal, the degree of imagined effort, and mind controllability should have a major effect on the performance of electro-encephalogram (EEG) based brain-computer interface (BCI). It is now well established that mental practice using motor imagery improves motor skills. The effects of mental practice on motor skill learning are the result of practice on central motor programming. According to this view, it seems logical that mental practice should modify the neuronal activity in the primary sensorimotor areas and consequently change the performance of EEG-based BCI. For developing a practical BCI system, recognizing the resting state with eyes opened and the imagined voluntary movement is important. For this purpose, the mind should be able to focus on a single goal for a period of time. without deviation to another context. In this work, we are going to examine the role of mental practice and concentration skills on the EEG control during imaginative hand movements. The results show that the mental practice and concentration can generally improve the classification accuracy of the EEG patterns. It is found that mental training has a significant effect on the classification accuracy over the primary motor cortex and frontal area.</t>
  </si>
  <si>
    <t>Iran Univ Sci &amp; Technol, Fac Elect Engn, Dept Biomed Engn, Tehran 16844, Iran</t>
  </si>
  <si>
    <t>Erfanian, A (corresponding author), Iran Univ Sci &amp; Technol, Fac Elect Engn, Dept Biomed Engn, Tehran 16844, Iran.</t>
  </si>
  <si>
    <t>erfanian@iust.ac.ir</t>
  </si>
  <si>
    <t>Erfanian Omidvar, Abbas/T-1870-2018; Mahmoudi, Babak/HHY-7302-2022</t>
  </si>
  <si>
    <t>NOV</t>
  </si>
  <si>
    <t>10.1007/s11517-006-0111-8</t>
  </si>
  <si>
    <t>Computer Science; Engineering; Mathematical &amp; Computational Biology; Medical Informatics</t>
  </si>
  <si>
    <t>WOS:000245081800003</t>
  </si>
  <si>
    <t>EEG-Based Online Two-Dimensional Cursor Control</t>
  </si>
  <si>
    <t>2009 ANNUAL INTERNATIONAL CONFERENCE OF THE IEEE ENGINEERING IN MEDICINE AND BIOLOGY SOCIETY, VOLS 1-20</t>
  </si>
  <si>
    <t>BRAIN-COMPUTER-INTERFACE; EVENT-RELATED DESYNCHRONIZATION; FINGER MOVEMENTS; COMMUNICATION; HUMANS</t>
  </si>
  <si>
    <t>This study aims to explore whether human intentions to move or cease to move right and left hands can provide four spatiotemporal patterns in single-trial non-invasive EEG signals to achieve a two-dimensional cursor control. Subjects performed motor tasks by either physical movement or motor imagery. Spatial filtering, temporal filtering, feature selection and classification methods were explored to support accurate computer pattern recognition. The performance was evaluated by both offline classification and online two-dimensional cursor control. Event-related desynchronization (ERD) and post-movement event-related synchronization (ERS) were observed on the contralateral hemisphere to the moving hand for both physical movement and motor imagery. The offline classification of four motor tasks provided 10-fold cross-validation accuracy as high as 88% for physical movement and 73% for motor imagery. Subjects participating in experiments with physical movement were able to complete the online game with the average accuracy of 85.5 +/- 4.65%; Subjects participating in motor imagery study also completed the game successfully. The proposed brain-computer interface (BCI) provided a new practical multi-dimensional method by noninvasive EEG signal associated with human natural behavior, which does not need long-term training.</t>
  </si>
  <si>
    <t>[Huang, Dandan; Fei, Ding-Yu; Bai, Ou] Virginia Commonwealth Univ, Dept Biomed Engn, Richmond, VA 23284 USA; [Lin, Peter] NIH, Natl Inst Neurol Disorder, Med Neurol Branch, Human Motor Control Sect, Bethesda, MD 20892 USA; [Chen, Xuedong] Huazhong Univ, Sch Mech Sci &amp; Engn, Wuhan, Peoples R China</t>
  </si>
  <si>
    <t>Virginia Commonwealth University; National Institutes of Health (NIH) - USA; NIH National Human Genome Research Institute (NHGRI); NIH National Institute of Neurological Disorders &amp; Stroke (NINDS)</t>
  </si>
  <si>
    <t>Huang, DD (corresponding author), Virginia Commonwealth Univ, Dept Biomed Engn, Richmond, VA 23284 USA.</t>
  </si>
  <si>
    <t>linpe@ninds.nih.gov; chenxd@mail.hust.edu.cn; obai@vcu.edu</t>
  </si>
  <si>
    <t>Lin, Peter/0000-0003-1198-7763; Bai, Ou/0000-0002-0040-6807</t>
  </si>
  <si>
    <t>10.1109/IEMBS.2009.5332722</t>
  </si>
  <si>
    <t>WOS:000280543603231</t>
  </si>
  <si>
    <t>Liu, Y; Wang, Z; Huang, SF; Wang, WJ; Ming, D</t>
  </si>
  <si>
    <t>Liu, Yuan; Wang, Zhuang; Huang, Shuaifei; Wang, Wenjie; Ming, Dong</t>
  </si>
  <si>
    <t>EEG characteristic investigation of the sixth-finger motor imagery and optimal channel selection for classification</t>
  </si>
  <si>
    <t>supernumerary robotic limbs; brain-computer interface; motor imagery; wearable robotic; EEG characteristic</t>
  </si>
  <si>
    <t>HAND</t>
  </si>
  <si>
    <t>Objective. Supernumerary robotic limbs are body augmentation robotic devices by adding extra limbs or fingers to the human body different from the traditional wearable robotic devices such as prosthesis and exoskeleton. We proposed a novel motor imagery (MI)-based brain-computer interface (BCI) paradigm based on the sixth-finger which imagines controlling the extra finger movements. The goal of this work is to investigate the electromyographic (EEG) characteristics and the application potential of MI-based BCI systems based on the new imagination paradigm (the sixth finger MI). Approach. Fourteen subjects participated in the experiment involving the sixth finger MI tasks and rest state. Event-related spectral perturbation was adopted to analyze EEG spatial features and key-channel time-frequency features. Common spatial patterns were used for feature extraction and classification was implemented by support vector machine. A genetic algorithm (GA) was used to select combinations of EEG channels that maximized classification accuracy and verified EEG patterns based on the sixth finger MI. And we conducted a longitudinal 4 weeks EEG control experiment based on the new paradigm. Main results. Event-related desynchronization (ERD) was found in the supplementary motor area and primary motor area with a faint contralateral dominance. Unlike traditional MI based on the human hand, ERD was also found in frontal lobe. GA results showed that the distribution of the optimal eight-channel is similar to EEG topographical distributions, nearing parietal and frontal lobe. And the classification accuracy based on the optimal eight-channel (the highest accuracy of 80% and mean accuracy of 70%) was significantly better than that based on the random eight-channel (p&lt; 0.01). Significance. This work provided a new paradigm for MI-based MI system and verified its feasibility, widened the control bandwidth of the BCI system.</t>
  </si>
  <si>
    <t>[Liu, Yuan; Wang, Zhuang; Huang, Shuaifei; Wang, Wenjie; Ming, Dong] Tianjin Univ, Acad Med Engn &amp; Translat Med, Tianjin, Peoples R China</t>
  </si>
  <si>
    <t>Tianjin University</t>
  </si>
  <si>
    <t>Ming, D (corresponding author), Tianjin Univ, Acad Med Engn &amp; Translat Med, Tianjin, Peoples R China.</t>
  </si>
  <si>
    <t>richardming@tju.edu.cn</t>
  </si>
  <si>
    <t>; Ming, Dong/G-8786-2011</t>
  </si>
  <si>
    <t>Wang, Zhuang/0000-0003-1093-7369; Liu, Yuan/0000-0002-9703-7357</t>
  </si>
  <si>
    <t>FEB 1</t>
  </si>
  <si>
    <t>10.1088/1741-2552/ac49a6</t>
  </si>
  <si>
    <t>WOS:000746176700001</t>
  </si>
  <si>
    <t>Arpaia, P; Esposito, A; Galasso, E; Galdieri, F; Natalizio, A; Parvis, M; Sommeling, M; Volpe, M</t>
  </si>
  <si>
    <t>DePaolis, LT; Arpaia, P; Sacco, M</t>
  </si>
  <si>
    <t>Arpaia, Pasquale; Esposito, Antonio; Galasso, Enza; Galdieri, Fortuna; Natalizio, Angela; Parvis, Marco; Sommeling, Michael; Volpe, Mattia</t>
  </si>
  <si>
    <t>Endless Runner Game in Virtual Reality Controlled by a Self-paced Brain-Computer Interface Based on EEG and Motor Imagery</t>
  </si>
  <si>
    <t>EXTENDED REALITY, PT II, XR SALENTO 2024</t>
  </si>
  <si>
    <t>Brain-Computer Interface; BCI; EEG; Motor Imagery; Neurofeedback; Endless Runner; Serious Game; Extended Reality</t>
  </si>
  <si>
    <t>CLASSIFICATION; COMMUNICATION</t>
  </si>
  <si>
    <t>A prototype system for an endless runner game controlled by a self-paced brain-computer interface (BCI) based on electroencephalography (EEG) and motor imagery (MI) is presented. In self-paced BCI systems, brain activity can be distinguished between control and non-control states, allowing the user to continuously engage with the application. The continuous nature of the system enhances the user experience and broadens the experimental setting to more real-world applications. Additionally, metrics for assessing the player's performance during the endless runner game are introduced, including the number of collected coins, distance from the coins, and the efficiency of the avatar's path. The system was evaluated on six subjects with varying levels of experience with MI-BCI. The results demonstrated that the proposed system can be used feasibly with as few as three calibration runs and a highly wearable low-density (8-channel) EEG cap. Furthermore, participants familiar with MI were observed to have better calibration sessions, and subsequently exhibited greater control of the endless runner game.</t>
  </si>
  <si>
    <t>[Arpaia, Pasquale; Esposito, Antonio; Galasso, Enza; Galdieri, Fortuna; Sommeling, Michael; Volpe, Mattia] Univ Naples Federico II, Dept Elect Engn &amp; Informat Technol DIETI, Naples, Italy; [Arpaia, Pasquale] Univ Naples Federico II, Interdept Ctr Res Management &amp; Innovat Healthcare, Naples, Italy; [Natalizio, Angela; Parvis, Marco] Polytech Univ Turin, Dept Elect &amp; Telecommun DET, Turin, Italy</t>
  </si>
  <si>
    <t>University of Naples Federico II; University of Naples Federico II; Polytechnic University of Turin</t>
  </si>
  <si>
    <t>Arpaia, P (corresponding author), Univ Naples Federico II, Dept Elect Engn &amp; Informat Technol DIETI, Naples, Italy.;Arpaia, P (corresponding author), Univ Naples Federico II, Interdept Ctr Res Management &amp; Innovat Healthcare, Naples, Italy.</t>
  </si>
  <si>
    <t>pasquale.arpaia@unina.it</t>
  </si>
  <si>
    <t>; ESPOSITO, ANTONIO/GON-7132-2022; arpaia, pasquale/R-4342-2019; Esposito, Antonio/AAZ-7967-2020; Galdieri, Fortuna/MYR-2220-2025</t>
  </si>
  <si>
    <t>Sommeling, Michael/0000-0001-9096-322X; ESPOSITO, ANTONIO/0000-0002-3761-2401;</t>
  </si>
  <si>
    <t>10.1007/978-3-031-71704-8_16</t>
  </si>
  <si>
    <t>WOS:001336525100016</t>
  </si>
  <si>
    <t>Shi, TW; Ren, L; Cui, WH</t>
  </si>
  <si>
    <t>Shi, Tianwei; Ren, Ling; Cui, Wenhua</t>
  </si>
  <si>
    <t>Feature Extraction of Brain-Computer Interface Electroencephalogram Based on Motor Imagery</t>
  </si>
  <si>
    <t>IEEE SENSORS JOURNAL</t>
  </si>
  <si>
    <t>Feature extraction; Electroencephalography; Brain modeling; Wavelet packets; Time-domain analysis; Frequency-domain analysis; Brain-computer interfaces; Brain-computer interface; EEG signal; feature extraction; motor imagery</t>
  </si>
  <si>
    <t>Brain-computer interface (BCI) is a system that allows people to communicate or control external devices simply by using information from the brain without relying on the peripheral nervous system and muscles; BCI technology has great potential application value in motor function assistance and motor function rehabilitation and has become a new research hotspot in the fields of machine learning, biomedical engineering and computer communication. The feature extraction of motor imagery electroencephalogram (EEG) is to find the most effective characteristics of complex EEG signal that can represent the consciousness task, to differentiate the feature vectors extracted from different consciousness tasks, and to maximize the correlation between the feature vector and the consciousness task. On the basis of summarizing and analyzing previous research works, this paper proposes a new EEG feature extraction algorithm based on common spatial pattern (CSP) and adaptive auto-regressive (AAR), and demonstrates feasibility of band energy, sample entropy and order accumulation to be the characteristics of motor imagery classification, and finally compares the classification effects of linear discrimination classifier, common space classifier and Bayesian classifier. The simulation results show that the proposed method and algorithm can effectively extract the features of EEG signals during motor imagery. The research results of this paper provide a reference for the further study of feature extraction of brain-computer interface EEG.</t>
  </si>
  <si>
    <t>[Shi, Tianwei; Cui, Wenhua] Univ Sci &amp; Technol Liaoning, Sch Int Finance &amp; Banking, Anshan 114051, Peoples R China; [Ren, Ling] Univ Sci &amp; Technol Liaoning, Innovat &amp; Entrepreneurship &amp; Engn Training Ctr, Anshan 114051, Peoples R China</t>
  </si>
  <si>
    <t>University of Science &amp; Technology Liaoning; University of Science &amp; Technology Liaoning</t>
  </si>
  <si>
    <t>Shi, TW (corresponding author), Univ Sci &amp; Technol Liaoning, Sch Int Finance &amp; Banking, Anshan 114051, Peoples R China.</t>
  </si>
  <si>
    <t>tianweiabbcc@163.com; 85179626@qq.com; 176878392@qq.com</t>
  </si>
  <si>
    <t>OCT15,</t>
  </si>
  <si>
    <t>10.1109/JSEN.2019.2939343</t>
  </si>
  <si>
    <t>Engineering; Instruments &amp; Instrumentation; Physics</t>
  </si>
  <si>
    <t>WOS:000571774500007</t>
  </si>
  <si>
    <t>Elashmawi, WH; Ayman, A; Antoun, M; Mohamed, H; Mohamed, SE; Amr, H; Talaat, Y; Ali, A</t>
  </si>
  <si>
    <t>Elashmawi, Walaa H.; Ayman, Abdelrahman; Antoun, Mina; Mohamed, Habiba; Mohamed, Shehab Eldeen; Amr, Habiba; Talaat, Youssef; Ali, Ahmed</t>
  </si>
  <si>
    <t>A Comprehensive Review on Brain-Computer Interface (BCI)-Based Machine and Deep Learning Algorithms for Stroke Rehabilitation</t>
  </si>
  <si>
    <t>brain-computer interface (BCI); electroencephalogram (EEG); deep learning; stroke rehabilitation</t>
  </si>
  <si>
    <t>MOTOR IMAGERY; FEATURE-SELECTION; EEG SIGNALS; CLASSIFICATION; TECHNOLOGY; FRAMEWORK; FEATURES; OUTCOMES</t>
  </si>
  <si>
    <t>This literature review explores the pivotal role of brain-computer interface (BCI) technology, coupled with electroencephalogram (EEG) technology, in advancing rehabilitation for individuals with damaged muscles and motor systems. This study provides a comprehensive overview of recent developments in BCI and motor control for rehabilitation, emphasizing the integration of user-friendly technological support and robotic prosthetics powered by brain activity. This review critically examines the latest strides in BCI technology and its application in motor skill recovery. Special attention is given to prevalent EEG devices adaptable for BCI-driven rehabilitation. The study surveys significant contributions in the realm of machine learning-based and deep learning-based rehabilitation evaluation. The integration of BCI with EEG technology demonstrates promising outcomes for enhancing motor skills in rehabilitation. The study identifies key EEG devices suitable for BCI applications, discusses advancements in machine learning approaches for rehabilitation assessment, and highlights the emergence of novel robotic prosthetics powered by brain activity. Furthermore, it showcases successful case studies illustrating the practical implementation of BCI-driven rehabilitation techniques and their positive impact on diverse patient populations. This review serves as a cornerstone for informed decision-making in the field of BCI technology for rehabilitation. The results highlight BCI's diverse advantages, enhancing motor control and robotic integration. The findings highlight the potential of BCI in reshaping rehabilitation practices and offer insights and recommendations for future research directions. This study contributes significantly to the ongoing transformation of BCI technology, particularly through the utilization of EEG equipment, providing a roadmap for researchers in this dynamic domain.</t>
  </si>
  <si>
    <t>[Elashmawi, Walaa H.] Suez Canal Univ, Fac Comp &amp; Informat, Dept Comp Sci, 4-5 Km Ring Rd, Ismailia 41522, Egypt; [Elashmawi, Walaa H.; Ayman, Abdelrahman; Antoun, Mina; Mohamed, Habiba; Mohamed, Shehab Eldeen; Amr, Habiba; Talaat, Youssef] Misr Int Univ, Fac Comp Sci, Dept Comp Sci, 28 KM Cairo-Ismailia Rd, Cairo 44971, Egypt; [Ali, Ahmed] Prince Sattam Bin Abdulaziz Univ, Coll Comp Engn &amp; Sci, Dept Comp Sci, Al Kharj 11942, Saudi Arabia; [Ali, Ahmed] Higher Future Inst Specialized Technol Studies, Cairo 3044, Egypt</t>
  </si>
  <si>
    <t>Egyptian Knowledge Bank (EKB); Suez Canal University; Egyptian Knowledge Bank (EKB); Misr International University; Prince Sattam Bin Abdulaziz University</t>
  </si>
  <si>
    <t>Ali, A (corresponding author), Prince Sattam Bin Abdulaziz Univ, Coll Comp Engn &amp; Sci, Dept Comp Sci, Al Kharj 11942, Saudi Arabia.;Ali, A (corresponding author), Higher Future Inst Specialized Technol Studies, Cairo 3044, Egypt.</t>
  </si>
  <si>
    <t>w.hashmawi@ci.suez.edu.eg; abdelrahman2000148@miuegypt.edu.eg; mina2011237@miuegypt.edu.eg; habiba2003520@miuegypt.edu.eg; shehabeldeen2011310@miuegypt.edu.eg; habiba2008121@miuegypt.edu.eg; youssef.talaat@miuegypt.edu.eg; a.abdalrahman@psau.edu.sa</t>
  </si>
  <si>
    <t>Ali, Ahmed/GQQ-6546-2022</t>
  </si>
  <si>
    <t>elashmawi, walaa/0000-0003-0142-0632; Ali, Ahmed/0000-0003-2775-4104</t>
  </si>
  <si>
    <t>10.3390/app14146347</t>
  </si>
  <si>
    <t>WOS:001276764100001</t>
  </si>
  <si>
    <t>Yang, BH; Li, D; Ma, BH; Gu, XL; Kong, DW</t>
  </si>
  <si>
    <t>Yang, Banghua; Li, Du; Ma, Baiheng; Gu, Xuelin; Kong, Dewen</t>
  </si>
  <si>
    <t>Motor Imagery EEG Classification Method Based on Adaptive Decision Surface of LDA Classifier</t>
  </si>
  <si>
    <t>PROCEEDINGS OF 2021 11TH INTERNATIONAL CONFERENCE ON BIOSCIENCE, BIOCHEMISTRY AND BIOINFORMATICS, ICBBB 2021</t>
  </si>
  <si>
    <t>Brain-computer interface; Common spatial patterns; Linear discriminant analysis classifier; Motor imagery</t>
  </si>
  <si>
    <t>SINGLE-TRIAL EEG; SPATIAL FILTERS</t>
  </si>
  <si>
    <t>In order to solve the problem of reduced classification accuracy caused by the different spatial features of EEG motor imagery signals between the same subjects on different days, this paper proposes an EEG feature extraction and recognition method based on common spatial pattern (CSP) and decision surface adaptive linear discriminant analysis (DSALDA). The decision surface threshold of the linear discriminant analysis (LDA) classifier was updated by saving the CSP spatial feature of the different day's test data, and use parameters to control the proportion of CSP spatial features between the training data set and the different day' test data set. The experiment collected EEG data of 24 subjects, each subject collected data on different days. The results show that the average accuracy of this method is improved by 6.35% compared with the CSP-LDA method, which effectively improves the accuracy and stability of the different day's motor imagery EEG classification. It has created conditions for the wide application of motor imagery brain-computer interface (BCI) system in the field of rehabilitation.</t>
  </si>
  <si>
    <t>[Yang, Banghua; Li, Du; Gu, Xuelin; Kong, Dewen] Shanghai Univ, Shanghai, Peoples R China; [Yang, Banghua; Ma, Baiheng] Sci &amp; Technol Electroopt Control Lab, Luoyang, Henan, Peoples R China</t>
  </si>
  <si>
    <t>Shanghai University</t>
  </si>
  <si>
    <t>Yang, BH (corresponding author), Shanghai Univ, Shanghai, Peoples R China.;Yang, BH; Ma, BH (corresponding author), Sci &amp; Technol Electroopt Control Lab, Luoyang, Henan, Peoples R China.</t>
  </si>
  <si>
    <t>Yang, Banghua/LIC-1882-2024</t>
  </si>
  <si>
    <t>10.1145/3448340.3448346</t>
  </si>
  <si>
    <t>Biotechnology &amp; Applied Microbiology; Engineering</t>
  </si>
  <si>
    <t>WOS:001143778000006</t>
  </si>
  <si>
    <t>Arpaia, P; D'Angelo, M; D'Errico, G; De Paolis, LT; Esposito, A; Grassini, S; Moccaldi, N; Natalizio, A; Nuzzo, BL</t>
  </si>
  <si>
    <t>Arpaia, Pasquale; D'Angelo, Mariano; D'Errico, Giovanni; De Paolis, Lucio Tommaso; Esposito, Antonio; Grassini, Sabrina; Moccaldi, Nicola; Natalizio, Angela; Nuzzo, Benito Luigi</t>
  </si>
  <si>
    <t>EEG features of the interaction between sense of agency and body ownership: a motor imagery BCI case study</t>
  </si>
  <si>
    <t>2022 IEEE INTERNATIONAL CONFERENCE ON METROLOGY FOR EXTENDED REALITY, ARTIFICIAL INTELLIGENCE AND NEURAL ENGINEERING (METROXRAINE)</t>
  </si>
  <si>
    <t>BCI; Motor Imagery; Virtual Reality; Extended Reality; Body Ownership; EEG; Neurofeedback; Gamification</t>
  </si>
  <si>
    <t>The sense of body ownership, i.e., the experience of one's body as one's own, and the sense of agency, i.e., the feeling of control over bodily actions, are essential for bodily self-consciousness. Research on EEG-based brain-computer interface (BCI) has shown that individuals can retain a sense of agency and ownership even when they control virtual arms by imaging the movement but without physically performing it. Here, we investigated (i) if we are more accurate in controlling the movement of a virtual device qualified as part of one's own body and (ii) to what extent the EEG feature linked to the agency for one's own body parts and for external device differ. To this aim, participants use an EEG-based BCI to control two virtual arms presented either in a first-person perspective to induce both a sense of ownership and agency over the virtual arms, or in an anatomical incongruent position to retain only the sense of agency. Preliminary data (n = 4) showed that there is no difference in the accuracy in controlling the virtual arms in the two conditions, as measured by the EEG decoding algorithm reflecting the motor intention of the user. Crucially, both conditions elicit a sense of agency over the virtual arms, although the sense of ownership was present only in the first-person perspective condition. If confirmed in the remaining participants to be tested (n = 34), these results will suggest that the ability of controlling a virtual device is not affected by the sense of ownership felt over it. Therefore, motor control's accuracy and the subsequent sense of agency are the consequences of the association between an internal volitional signal and the external outcome, bypassing the actual body movements and the sense of body ownership. We provide a unique window into the relation between motor control and the sense of body ownership- findings that have important implications for daily life support of patients using neuroprosthetics.</t>
  </si>
  <si>
    <t>[Arpaia, Pasquale; Esposito, Antonio; Moccaldi, Nicola] Univ Naples Federico II, Dept Elect Engn &amp; Informat Technol, Naples, Italy; [D'Angelo, Mariano] Karolinska Inst, Dept Neurosci, Stockholm, Sweden; [D'Errico, Giovanni; Grassini, Sabrina] Politecn Torino, Dept Appl Sci &amp; Technol, Turin, Italy; [De Paolis, Lucio Tommaso; Nuzzo, Benito Luigi] Univ Salento, Dept Engn Innovat, Lecce, Italy; [Natalizio, Angela] Politecn Torino, Dept Elect &amp; Telecommun DET, Turin, Italy; [Arpaia, Pasquale] Univ Naples Federico II, Interdept Res Ctr Hlth Management &amp; Innovat Healt, Naples, Italy</t>
  </si>
  <si>
    <t>University of Naples Federico II; Karolinska Institutet; Polytechnic University of Turin; University of Salento; Polytechnic University of Turin; University of Naples Federico II</t>
  </si>
  <si>
    <t>Arpaia, P (corresponding author), Univ Naples Federico II, Dept Elect Engn &amp; Informat Technol, Naples, Italy.;Arpaia, P (corresponding author), Univ Naples Federico II, Interdept Res Ctr Hlth Management &amp; Innovat Healt, Naples, Italy.</t>
  </si>
  <si>
    <t>ESPOSITO, ANTONIO/GON-7132-2022; Esposito, Antonio/GON-7132-2022; D'Errico, Giovanni/JKI-0447-2023; De Paolis, Lucio Tommaso/R-2421-2016; arpaia, pasquale/R-4342-2019</t>
  </si>
  <si>
    <t>ESPOSITO, ANTONIO/0000-0002-3761-2401; D'Errico, Giovanni/0000-0003-1415-0731; NUZZO, Benito Luigi/0009-0000-8974-0459;</t>
  </si>
  <si>
    <t>10.1109/MetroXRAINE54828.2022.9967507</t>
  </si>
  <si>
    <t>Computer Science; Engineering; Instruments &amp; Instrumentation</t>
  </si>
  <si>
    <t>WOS:000947347200019</t>
  </si>
  <si>
    <t>Yang, EM; Shankar, K; Perumal, E; Seo, C</t>
  </si>
  <si>
    <t>Yang, Eunmok; Shankar, K.; Perumal, Eswaran; Seo, Changho</t>
  </si>
  <si>
    <t>Optimal Fuzzy Logic Enabled EEG Motor Imagery Classification for Brain Computer Interface</t>
  </si>
  <si>
    <t>Electroencephalography; Feature extraction; Brain modeling; Synchronous motors; Transforms; Task analysis; Continuous wavelet transforms; Biomedical signal processing; Fuzzy systems; Brain-computer interfaces; EEG signals; human-computer interaction; fuzzy logic; brain-computer interface; metaheuristics</t>
  </si>
  <si>
    <t>FEATURES; SIGNALS</t>
  </si>
  <si>
    <t>Brain-computer interface BCI) is a technology that assists in straight link among the human brain as well as external devices like computers or robotic systems, without including muscles and peripheral nerves. BCI allows individuals with motor disabilities to manage external devices with the aid of brain signals such as motor imagery detected from electroencephalography (EEG) signals. An EEG Motor Imagery Classification for BCI is a specific application of EEG in which brain signals directly related to motor imagery tasks are analyzed and classified to control external devices or applications, namely robotic systems or computers. In this regard, the study introduces a Jellyfish Optimization with Fuzzy Logic Enabled EEG Motor Imagery Classification for Brain Computer Interface (JFOFL-MICBCI) technique. The JFOFL-MICBCI technique aims to exploit the fuzzy logic system with metaheuristics for classifying EEC motor imagery signals. It initially executes Continuous Wavelet Transform (CWT) for transforming 1D-EEG signals into 2D time-frequency amplitude ones. For feature extraction, the JFOFL-MICBCI technique uses the SqueezeNet method, and its hyperparameters can be adjusted by the employ of the JFO system. The JFOFL-MICBCI method exploits the adaptive neuro-fuzzy inference system (ANFIS) approach for performing the classification process. A comprehensive range of experiments has been accompanied to demonstrate the higher efficiency of the JFOFL-MICBCI technique. The obtained results inferred the better of the JFOFL-MICBCI technique with other recent systems.</t>
  </si>
  <si>
    <t>[Yang, Eunmok] Kookmin Univ, Dept Financial Informat Secur, Seoul 02707, South Korea; [Shankar, K.] Saveetha Inst Med &amp; Tech Sci, Saveetha Sch Engn, Dept Comp Sci &amp; Engn, Chennai 602105, India; [Perumal, Eswaran] Alagappa Univ, Dept Comp Applicat, Karaikkudi 630003, India; [Seo, Changho] Kongju Natl Univ, Dept Convergence Sci, Gongju 32588, Chungcheongnam, South Korea</t>
  </si>
  <si>
    <t>Kookmin University; Saveetha Institute of Medical &amp; Technical Science; Saveetha School of Engineering; Alagappa University; Kongju National University</t>
  </si>
  <si>
    <t>Seo, C (corresponding author), Kongju Natl Univ, Dept Convergence Sci, Gongju 32588, Chungcheongnam, South Korea.</t>
  </si>
  <si>
    <t>chseo@kongju.ac.kr</t>
  </si>
  <si>
    <t>Perumal, Eswaran/ABD-7814-2020; KUMAR, SHANKAR/NMK-4294-2025; Yang, Eunmok/AAV-9043-2020</t>
  </si>
  <si>
    <t>Yang, Eunmok/0000-0002-6508-7034;</t>
  </si>
  <si>
    <t>10.1109/ACCESS.2023.3346674</t>
  </si>
  <si>
    <t>WOS:001196443500001</t>
  </si>
  <si>
    <t>Lun, XM; Zhang, YF; Zhu, MY; Lian, YH; Hou, YM</t>
  </si>
  <si>
    <t>Lun, Xiangmin; Zhang, Yifei; Zhu, Mengyang; Lian, Yongheng; Hou, Yimin</t>
  </si>
  <si>
    <t>A Combined Virtual Electrode-Based ESA and CNN Method for MI-EEG Signal Feature Extraction and Classification</t>
  </si>
  <si>
    <t>brain-computer interface (BCI); electroencephalography (EEG); motor imagery (MI); EEG source analysis (ESA); convolutional neural network (CNN)</t>
  </si>
  <si>
    <t>BRAIN-COMPUTER INTERFACE; MOTOR IMAGERY; PREFRONTAL CORTEX; CHANNEL SELECTION; COMMUNICATION; TECHNOLOGY; INTENTION; MOVEMENT</t>
  </si>
  <si>
    <t>A Brain-Computer Interface (BCI) is a medium for communication between the human brain and computers, which does not rely on other human neural tissues, but only decodes Electroencephalography (EEG) signals and converts them into commands to control external devices. Motor Imagery (MI) is an important BCI paradigm that generates a spontaneous EEG signal without external stimulation by imagining limb movements to strengthen the brain's compensatory function, and it has a promising future in the field of computer-aided diagnosis and rehabilitation technology for brain diseases. However, there are a series of technical difficulties in the research of motor imagery-based brain-computer interface (MI-BCI) systems, such as: large individual differences in subjects and poor performance of the cross-subject classification model; a low signal-to-noise ratio of EEG signals and poor classification accuracy; and the poor online performance of the MI-BCI system. To address the above problems, this paper proposed a combined virtual electrode-based EEG Source Analysis (ESA) and Convolutional Neural Network (CNN) method for MI-EEG signal feature extraction and classification. The outcomes reveal that the online MI-BCI system developed based on this method can improve the decoding ability of multi-task MI-EEG after training, it can learn generalized features from multiple subjects in cross-subject experiments and has some adaptability to the individual differences of new subjects, and it can decode the EEG intent online and realize the brain control function of the intelligent cart, which provides a new idea for the research of an online MI-BCI system.</t>
  </si>
  <si>
    <t>[Lun, Xiangmin; Zhang, Yifei; Zhu, Mengyang; Lian, Yongheng; Hou, Yimin] Northeast Elect Power Univ, Sch Automat Engn, Jilin 132012, Peoples R China</t>
  </si>
  <si>
    <t>Northeast Electric Power University</t>
  </si>
  <si>
    <t>Hou, YM (corresponding author), Northeast Elect Power Univ, Sch Automat Engn, Jilin 132012, Peoples R China.</t>
  </si>
  <si>
    <t>xm_lun77@163.com; 18604347075@163.com; 16642406109@163.com; lianyongheng2022@163.com; ymh7821@163.com</t>
  </si>
  <si>
    <t>10.3390/s23218893</t>
  </si>
  <si>
    <t>WOS:001100526700001</t>
  </si>
  <si>
    <t>Wang, JH; Li, MG</t>
  </si>
  <si>
    <t>Wang, Junhui; Li, Mingai</t>
  </si>
  <si>
    <t>CASCE: A Contrastive Representation Learning Framework for Motor Imagery EEG-Based Unilateral Upper Limb Decoding</t>
  </si>
  <si>
    <t>IEEE TRANSACTIONS ON INSTRUMENTATION AND MEASUREMENT</t>
  </si>
  <si>
    <t>Electroencephalography; Feature extraction; Convolutional neural networks; Contrastive learning; Convolution; Brain modeling; Decoding; Motors; Data mining; Representation learning; Brain-computer interface (BCI); contrastive learning; electroencephalogram (EEG); motor imagery (MI); upper limb decoding</t>
  </si>
  <si>
    <t>VIRTUAL-REALITY</t>
  </si>
  <si>
    <t>Nonmuscle channels are able to enhance voluntary movement control or improve rehabilitation efficacy, and analyzing electroencephalogram (EEG) signals yields valuable insights into functional neural activity during motor imagery (MI). However, most existing MI-EEG datasets primarily focus on exploring more discriminative tasks to control external devices, making it difficult to meet the actual needs of motor function rehabilitation. In addition, the expensive acquisition of labeled data hinders the practical application of EEG-based rehabilitation. In this study, we aim to collect EEG signals from 13 subjects performing four MI tasks of the unilateral upper limb: arm lifting/lowering and forearm pronation/supination. Moreover, we propose a Contrastive representation learning framework with an Attention Spatiotemporal Convolutional Encoder (CASCE) for MI-EEG decoding. In the pretraining phase, the unlabeled data from background samples and label-erased samples are applied to the noise addition module and the scaling module to generate pairs of positive and negative samples. These sample pairs are input into the encoder to learn temporal and spatial information, and the encoder parameters are further adjusted by using the contrastive loss function to measure the similarity of the feature information in the projection space. During the fine-tuning phase, the transferred encoder and the classification head are specifically adapted to the labeled MI-EEG data. The CASCE framework achieves a classification accuracy of 51.58% on the refined upper limb MI dataset. In addition, CASCE outperforms state-of-the-art (SOTA) methods with accuracies of 88.51% and 90.34% on the brain-computer interface (BCI) Competition IV 2a and 2b datasets, respectively.</t>
  </si>
  <si>
    <t>[Wang, Junhui; Li, Mingai] Beijing Univ Technol, Sch Informat Sci &amp; Technol, Beijing 100124, Peoples R China; [Li, Mingai] Beijing Key Lab Computat Intelligence &amp; Intelligen, Beijing 100124, Peoples R China; [Li, Mingai] Minist Educ, Engn Res Ctr Digital Community, Beijing 100124, Peoples R China</t>
  </si>
  <si>
    <t>Beijing University of Technology</t>
  </si>
  <si>
    <t>Li, MG (corresponding author), Beijing Univ Technol, Sch Informat Sci &amp; Technol, Beijing 100124, Peoples R China.</t>
  </si>
  <si>
    <t>junhuiwang@emails.bjut.edu.cn; limingai@bjut.edu.cn</t>
  </si>
  <si>
    <t>wang, junhui/0009-0003-5323-3967</t>
  </si>
  <si>
    <t>10.1109/TIM.2024.3500057</t>
  </si>
  <si>
    <t>Engineering; Instruments &amp; Instrumentation</t>
  </si>
  <si>
    <t>WOS:001370775800007</t>
  </si>
  <si>
    <t>Yang, C; Zhang, Y; Wang, SY; Lu, S; Wu, JF; Chen, ZK</t>
  </si>
  <si>
    <t>Yang, Cheng; Zhang, Ying; Wang, Shiyu; Lu, Shan; Wu, Jianfeng; Chen, Zhekun</t>
  </si>
  <si>
    <t>Online BCI System for Motor Imagery Based on Sliding Weight Method Under Environmental Noise Interference</t>
  </si>
  <si>
    <t>INTERNATIONAL JOURNAL OF HUMAN-COMPUTER INTERACTION</t>
  </si>
  <si>
    <t>Online BCI system; motor imagery; environmental noise; cross-subject; sliding weight</t>
  </si>
  <si>
    <t>EEG SIGNALS; FEATURES</t>
  </si>
  <si>
    <t>In real-world environments, interferences such as noise, lighting, and vibrations impact users' psychological and motor imagery (MI) EEG signals. Numerous studies focus on the performance of brain-computer interface (BCI) systems in interference-free laboratory environments, leading to significantly reduced accuracy in real-world applications. This study aims to address challenges for motor-disabled individuals using BCI systems in real-world environments, particularly the issues of insufficient system robustness to interference and differences in individual EEG features. This study designed a quantitative EEG experiment with environmental noise, analyzed its impact on EEG features, and constructed an EEG feature extraction and classification model that can adaptively adjust weight coefficients according to the external sound environment. This model was applied to a brain-controlled wheelchair system, achieving over 10% higher average classification accuracy in high-noise environments compared to two classical methods, with a classification speed within 1500 ms, significantly improving the system's noise resistance and generalization ability.</t>
  </si>
  <si>
    <t>[Yang, Cheng; Chen, Zhekun] Hangzhou City Univ, Dept Ind Design, Hangzhou, Peoples R China; [Yang, Cheng; Wang, Shiyu; Lu, Shan] Zhejiang Univ, Coll Comp Sci &amp; Technol, Dept Ind Design, Hangzhou, Peoples R China; [Zhang, Ying; Wu, Jianfeng] Zhejiang Univ Technol, Sch Design &amp; Architecture, Dept Ind Design, Hangzhou, Peoples R China</t>
  </si>
  <si>
    <t>Hangzhou City University; Zhejiang University; Zhejiang University of Technology</t>
  </si>
  <si>
    <t>Chen, ZK (corresponding author), Hangzhou City Univ, Dept Ind Design, Hangzhou, Peoples R China.</t>
  </si>
  <si>
    <t>2231003013@stu.hzcu.edu.cn</t>
  </si>
  <si>
    <t>OCT 18</t>
  </si>
  <si>
    <t>10.1080/10447318.2025.2464097</t>
  </si>
  <si>
    <t>FEB 2025</t>
  </si>
  <si>
    <t>WOS:001432959600001</t>
  </si>
  <si>
    <t>El-aal, SA; Ramadan, RA; Ghali, N</t>
  </si>
  <si>
    <t>El-aal, Shereen A.; Ramadan, Rabie A.; Ghali, Neveen</t>
  </si>
  <si>
    <t>Classification of EEG Signals for Motor Imagery based on Mutual Information and Adaptive Neuro Fuzzy Inference System</t>
  </si>
  <si>
    <t>INTERNATIONAL JOURNAL OF SYSTEM DYNAMICS APPLICATIONS</t>
  </si>
  <si>
    <t>Adaptive Neuro Fuzzy Inference System (ANFIS); Brain Computer Interface (BCI); Electroencephalogram (EEG) Signals; Mutual Information (MI)</t>
  </si>
  <si>
    <t>BRAIN-COMPUTER INTERFACES; COMMUNICATION; SELECTION</t>
  </si>
  <si>
    <t>Electroencephalogram (EEG) signals based Brain Computer Interface (BCI) is employed to help disabled people to interact better with the environment. EEG signals are recorded through BCI system to translate it to control commands. There are a large body of literature targeting EEG feature extraction and classification for Motor Imagery tasks. Motor imagery task have several features can be extracted to use in classification. However, using more features consume running time and using irrelevant and redundant features affect the performance of the used classifier. This paper is dedicated to extracting the best feature vector for motor imagery task. This work suggests two feature selection methods based on Mutual Information (MI) including Minimum Redundancy Maximal Relevance (MRMR) and maximal Relevance (MaxRel). Adaptive Neuro Fuzzy Inference System (ANFIS) classifier with Subtractive clustering method is utilized for EEG signals classifications. The suggested methods are applied to BCI Competition III dataset IVa and IVb and BCI Competition II dataset III.</t>
  </si>
  <si>
    <t>[El-aal, Shereen A.] Al Azhar Univ, Fac Sci, Dept Comp Sci, Cairo, Egypt; [Ramadan, Rabie A.] Cairo Univ, Giza, Egypt; [Ghali, Neveen] Al Azhar Univ, Cairo, Egypt</t>
  </si>
  <si>
    <t>Egyptian Knowledge Bank (EKB); Al Azhar University; Egyptian Knowledge Bank (EKB); Cairo University; Egyptian Knowledge Bank (EKB); Al Azhar University</t>
  </si>
  <si>
    <t>El-aal, SA (corresponding author), Al Azhar Univ, Fac Sci, Dept Comp Sci, Cairo, Egypt.</t>
  </si>
  <si>
    <t>Ramadan, Rabie/H-9543-2016; Ghali, Neveen/AAQ-9431-2021; Abdel-aal, Shereen/HDN-5788-2022</t>
  </si>
  <si>
    <t>OCT-DEC</t>
  </si>
  <si>
    <t>10.4018/IJSDA.2016100104</t>
  </si>
  <si>
    <t>WOS:000384911800004</t>
  </si>
  <si>
    <t>Miah, MO; Muhammod, R; Al Mamun, KA; Farid, DM; Kumar, S; Sharma, A; Dehzangi, A</t>
  </si>
  <si>
    <t>Miah, Md Ochiuddin; Muhammod, Rafsanjani; Al Mamun, Khondaker Abdullah; Farid, Dewan Md; Kumar, Shiu; Sharma, Alok; Dehzangi, Abdollah</t>
  </si>
  <si>
    <t>CluSem: Accurate clustering-based ensemble method to predict motor imagery tasks from multi-channel EEG data</t>
  </si>
  <si>
    <t>Brain Computer Interface (BCI); Human Machine Interface (HMI); Brain Engineering; Motor Imagery Electroencephalogram (MI-EEG); Clustering; Ensemble learning</t>
  </si>
  <si>
    <t>BRAIN-COMPUTER-INTERFACE; FEATURE-SELECTION; CLASSIFICATION; MACHINE; SIGNAL; RECOGNITION</t>
  </si>
  <si>
    <t>Background: The classification of motor imagery electroencephalogram (MI-EEG) is a pivotal task in the biosignal classification process in the brain-computer interface (BCI) applications. Currently, this bio-engineering-based technology is being employed by researchers in various fields to develop cutting-edge applications. The classification of real-time MI-EEG signals is the most challenging task in these applications. The prediction performance of the existing classification methods is still limited due to the high dimensionality and dynamic behaviors of the real-time EEG data. Proposed method: To enhance the classification performance of real-time BCI applications, this paper presents a new clustering-based ensemble technique called CluSem to mitigate this problem. We also develop a new brain game called CluGame using this method to evaluate the classification performance of real-time motor imagery movements. In this game, real-time EEG signal classification and prediction tabulation through animated balls are controlled via threads. By playing this game, users can control the movements of the balls via the brain signals of motor imagery movements without using any traditional input devices. Results: Our results demonstrate that CluSem is able to improve the classification accuracy between 5% and 15% compared to the existing methods on our collected as well as the publicly available EEG datasets. The source codes used to implement CluSem and CluGame are publicly available at https://github.com/MdOchiuddinMiah/ MI-BCI_ML.</t>
  </si>
  <si>
    <t>[Miah, Md Ochiuddin; Muhammod, Rafsanjani; Al Mamun, Khondaker Abdullah; Farid, Dewan Md] United Int Univ, Dept Comp Sci &amp; Engn, Dhaka 1212, Bangladesh; [Kumar, Shiu] Fiji Natl Univ, Sch Elect &amp; Elect Engn, Suva, Fiji; [Sharma, Alok] Griffith Univ, Inst Integrated &amp; Intelligent Syst, Brisbane, Qld, Australia; [Sharma, Alok] RIKEN, Ctr Integrat Med Sci, Wako, Saitama, Japan; [Dehzangi, Abdollah] Rutgers State Univ, Dept Comp Sci, Camden, NJ 08102 USA; [Dehzangi, Abdollah] Rutgers State Univ, Ctr Computat &amp; Integrat Biol, Camden, NJ 08102 USA</t>
  </si>
  <si>
    <t>United International University (UIU); Fiji National University (FNU); Griffith University; RIKEN; Rutgers University System; Rutgers University New Brunswick; Rutgers University Camden; Rutgers University System; Rutgers University New Brunswick; Rutgers University Camden</t>
  </si>
  <si>
    <t>Kumar, S (corresponding author), Fiji Natl Univ, Sch Elect &amp; Elect Engn, Suva, Fiji.;Sharma, A (corresponding author), Griffith Univ, Inst Integrated &amp; Intelligent Syst, Brisbane, Qld, Australia.;Dehzangi, A (corresponding author), Rutgers State Univ, Dept Comp Sci, Camden, NJ 08102 USA.</t>
  </si>
  <si>
    <t>mmiah131145@bscse.uiu.ac.bd; shiu748@gmail.com; alok.fj@gmail.com; i.dehzangi@rutgers.edu</t>
  </si>
  <si>
    <t>Miah, Dr. Md.Abdus Satter/S-7619-2016; Kumar, Shiu/AAE-8248-2020; Sharma, Alok/IUP-9816-2023</t>
  </si>
  <si>
    <t>Miah, Dr. Md.Abdus Satter/0000-0002-1890-5102; Kumar, Shiu/0000-0001-6145-1065; Jani, Md Rafsan/0000-0001-6415-172X; dehzangi, Iman/0000-0001-8577-0271; Farid, Dewan/0000-0002-6413-4898</t>
  </si>
  <si>
    <t>10.1016/j.jneumeth.2021.109373</t>
  </si>
  <si>
    <t>OCT 2021</t>
  </si>
  <si>
    <t>WOS:000710121800004</t>
  </si>
  <si>
    <t>Ma, R; Chen, YF; Jiang, YC; Zhang, MM</t>
  </si>
  <si>
    <t>Ma, Rui; Chen, Yi-Feng; Jiang, Yi-Chuan; Zhang, Mingming</t>
  </si>
  <si>
    <t>A New Compound-Limbs Paradigm: Integrating Upper-Limb Swing Improves Lower-Limb Stepping Intention Decoding From EEG</t>
  </si>
  <si>
    <t>Compound limbs; EEG; human stepping intention; motor imagery; motor execution</t>
  </si>
  <si>
    <t>MOTOR IMAGERY; CLASSIFICATION; INTERFACES; MOVEMENT; MACHINE; GAIT</t>
  </si>
  <si>
    <t>Brain-computer interface (BCI) systems based on spontaneous electroencephalography (EEG) hold the promise to implement human voluntary control of lower-extremity powered exoskeletons. However, current EEG-BCI paradigms do not consider the cooperation of upper and lower limbs during walking, which is inconsistent with natural human stepping patterns. To deal with this problem, this study proposed a stepping-matched human EEG-BCI paradigm that involved actions of both unilateral lower and contralateral upper limbs (also referred to as compound-limbs movement). Experiments were conducted in motor execution (ME) and motor imagery (MI) conditions to validate the feasibility. Common spatial pattern (CSP) proposed subject-specific CSP (SSCSP), and filter-bank CSP (FBCSP) methods were applied for feature extraction, respectively. The best average classification results based on SSCSP indicated that the accuracies of compound-limbs paradigms in ME and MI conditions achieved 89.02% +/- 12.84% and 73.70% +/- 12.47%, respectively. Although they were 2.03% and 5.68% lower than those of the single-upper-limb mode that does not match human stepping patterns, they were 24.30% and 11.02% higher than those of the single-lower-limb mode. These findings indicated that the proposed compound-limbs EEG-BCI paradigm is feasible for decoding human stepping intention and thus provides a potential way for natural human control of walking assistance devices.</t>
  </si>
  <si>
    <t>[Ma, Rui; Chen, Yi-Feng; Jiang, Yi-Chuan; Zhang, Mingming] Southern Univ Sci &amp; Technol, Dept Biomed Engn, Shenzhen Key Lab Smart Healthcare Engn, Nanshan 518055, Shenzhen, Peoples R China; [Ma, Rui; Chen, Yi-Feng; Jiang, Yi-Chuan; Zhang, Mingming] Southern Univ Sci &amp; Technol, Dept Biomed Engn, Guangdong Prov Key Lab Adv Biomat, Nanshan 518055, Shenzhen, Peoples R China</t>
  </si>
  <si>
    <t>Southern University of Science &amp; Technology; Southern University of Science &amp; Technology</t>
  </si>
  <si>
    <t>Zhang, MM (corresponding author), Southern Univ Sci &amp; Technol, Dept Biomed Engn, Shenzhen Key Lab Smart Healthcare Engn, Nanshan 518055, Shenzhen, Peoples R China.;Zhang, MM (corresponding author), Southern Univ Sci &amp; Technol, Dept Biomed Engn, Guangdong Prov Key Lab Adv Biomat, Nanshan 518055, Shenzhen, Peoples R China.</t>
  </si>
  <si>
    <t>mar3@mail.sustech.edu.cn; chenyf6@sustech.edu.cn; 12031322@mail.sustech.edu.cn; zhangmm@sustech.edu.cn</t>
  </si>
  <si>
    <t>; Zhang, Mingming/S-3085-2017; Jiang, Yichuan/AHE-7225-2022; Chen, Yifeng/JMR-4435-2023</t>
  </si>
  <si>
    <t>Chen, Yifeng/0000-0002-2709-6036; Zhang, Mingming/0000-0001-8016-1856; Jiang, Yichuan/0000-0003-3940-0477</t>
  </si>
  <si>
    <t>10.1109/TNSRE.2023.3315717</t>
  </si>
  <si>
    <t>WOS:001081797300001</t>
  </si>
  <si>
    <t>Wang, PP; Wang, ML; Zhou, YY; Xu, ZM; Zhang, DQ</t>
  </si>
  <si>
    <t>Wang, Pengpai; Wang, Mingliang; Zhou, Yueying; Xu, Ziming; Zhang, Daoqiang</t>
  </si>
  <si>
    <t>Multiband decomposition and spectral discriminative analysis for motor imagery BCI via deep neural network</t>
  </si>
  <si>
    <t>FRONTIERS OF COMPUTER SCIENCE</t>
  </si>
  <si>
    <t>brain computer interface; EEG; long short-term emory; VMD; sample entropy; motor imagery</t>
  </si>
  <si>
    <t>BRAIN COMPUTER INTERFACES; EEG SIGNALS; CLASSIFICATION; MOVEMENT</t>
  </si>
  <si>
    <t>Human limb movement imagery, which can be used in limb neural disorders rehabilitation and brain-controlled external devices, has become a significant control paradigm in the domain of brain-computer interface (BCI). Although numerous pioneering studies have been devoted to motor imagery classification based on electroencephalography (EEG) signal, their performance is somewhat limited due to insufficient analysis of key effective frequency bands of EEG signals. In this paper, we propose a model of multiband decomposition and spectral discriminative analysis for motor imagery classification, which is called variational sample-long short term memory (VS-LSTM) network. Specifically, we first use a channel fusion operator to reduce the signal channels of the raw EEG signal. Then, we use the variational mode decomposition (VMD) model to decompose the EEG signal into six band-limited intrinsic mode functions (BIMFs) for further signal noise reduction. In order to select discriminative frequency bands, we calculate the sample entropy (SampEn) value of each frequency band and select the maximum value. Finally, to predict the classification of motor imagery, a LSTM model is used to predict the class of frequency band with the largest SampEn value. An open-access public data is used to evaluated the effectiveness of the proposed model. In the data, 15 subjects performed motor imagery tasks with elbow flexion/extension, forearm supination/pronation and hand open/close of right upper limb. The experiment results show that the average classification result of seven kinds of motor imagery was 76.2%, the average accuracy of motor imagery binary classification is 96.6% (imagery vs. rest), respectively, which outperforms the state-of-the-art deep learning-based models. This framework significantly improves the accuracy of motor imagery by selecting effective frequency bands. This research is very meaningful for BCIs, and it is inspiring for end-to-end learning research.</t>
  </si>
  <si>
    <t>[Wang, Pengpai; Wang, Mingliang; Zhou, Yueying; Xu, Ziming; Zhang, Daoqiang] Nanjing Univ Aeronaut &amp; Astronaut, Coll Comp Sci &amp; Technol, MIIT Key Lab Pattern Anal &amp; Machine Intelligence, Nanjing 211106, Peoples R China</t>
  </si>
  <si>
    <t>Nanjing University of Aeronautics &amp; Astronautics</t>
  </si>
  <si>
    <t>Zhang, DQ (corresponding author), Nanjing Univ Aeronaut &amp; Astronaut, Coll Comp Sci &amp; Technol, MIIT Key Lab Pattern Anal &amp; Machine Intelligence, Nanjing 211106, Peoples R China.</t>
  </si>
  <si>
    <t>dqzhang@nuaa.edu.cn</t>
  </si>
  <si>
    <t>wang, mingliang/GXF-2439-2022; Zhou, ying/HZJ-5073-2023; Zhang, Daoqiang/D-3754-2011</t>
  </si>
  <si>
    <t>Zhou, Yueying/0000-0003-0971-9428;</t>
  </si>
  <si>
    <t>10.1007/s11704-021-0587-2</t>
  </si>
  <si>
    <t>WOS:000737928900005</t>
  </si>
  <si>
    <t>Bai, O; Lin, P; Huang, DD; Fei, DY; Floeter, MK</t>
  </si>
  <si>
    <t>Bai, Ou; Lin, Peter; Huang, Dandan; Fei, Ding-Yu; Floeter, Mary Kay</t>
  </si>
  <si>
    <t>Towards a user-friendly brain-computer interface: Initial tests in ALS and PLS patients</t>
  </si>
  <si>
    <t>CLINICAL NEUROPHYSIOLOGY</t>
  </si>
  <si>
    <t>EEG; Brain-computer interface (BCI); Event-related desynchronization (ERD); Event-related synchronization (ERS); User-friendly; Amyotrophic lateral sclerosis (ALS); Primary lateral sclerosis (PLS); Motor control</t>
  </si>
  <si>
    <t>AMYOTROPHIC-LATERAL-SCLEROSIS; MOVEMENT BETA-SYNCHRONIZATION; THOUGHT TRANSLATION DEVICE; SUPPORT VECTOR MACHINES; QUALITY-OF-LIFE; MOTOR IMAGERY; PARALYZED PATIENTS; MENTAL PRACTICE; RATING-SCALE; EEG</t>
  </si>
  <si>
    <t>Objective: Patients usually require long-term training for effective EEG-based brain-computer interface (BCI) control due to fatigue caused by the demands for focused attention during prolonged BCI operation. We intended to develop a user-friendly BCI requiring minimal training and less mental load. Methods: Testing of BCI performance was investigated in three patients with amyotrophic lateral sclerosis (ALS) and three patients with primary lateral sclerosis (PLS), who had no previous BCI experience. All patients performed binary control of cursor movement. One ALS patient and one PLS patient performed four-directional cursor control in a two-dimensional domain under a BCI paradigm associated with human natural motor behavior using motor execution and motor imagery. Subjects practiced for 510 min and then participated in a multi-session study of either binary control or four-directional control including online BCI game over 1.5-2 h in a single visit. Results: Event-related desynchronization and event-related synchronization in the beta band were observed in all patients during the production of voluntary movement either by motor execution or motor imagery. The online binary control of cursor movement was achieved with an average accuracy about 82.1 +/- 8.2% with motor execution and about 80% with motor imagery, whereas offline accuracy was achieved with 91.4 +/- 3.4% with motor execution and 83.3 +/- 8.9% with motor imagery after optimization. In addition, four-directional cursor control was achieved with an accuracy of 50-60% with motor execution and motor imagery. Conclusion: Patients with ALS or PLS may achieve BCI control without extended training, and fatigue might be reduced during operation of a BCI associated with human natural motor behavior. Significance: The development of a user-friendly BCI will promote practical BCI applications in paralyzed patients. (C) 2010 International Federation of Clinical Neurophysiology. Published by Elsevier Ireland Ltd. All rights reserved.</t>
  </si>
  <si>
    <t>[Bai, Ou; Huang, Dandan; Fei, Ding-Yu] Virginia Commonwealth Univ, Dept Biomed Engn, EEG &amp; BCI Lab, Richmond, VA 23284 USA; [Lin, Peter] Santa Clara Valley Med Ctr, Dept Neurol, San Jose, CA 95128 USA; [Bai, Ou] NINDS, Human Motor Control Sect, Med Neurol Branch, NIH, Bethesda, MD 20892 USA; [Floeter, Mary Kay] NINDS, EMG Sect, NIH, Bethesda, MD 20892 USA</t>
  </si>
  <si>
    <t>Virginia Commonwealth University; Santa Clara Valley Medical Center; National Institutes of Health (NIH) - USA; NIH National Human Genome Research Institute (NHGRI); NIH National Institute of Neurological Disorders &amp; Stroke (NINDS); National Institutes of Health (NIH) - USA; NIH National Institute of Neurological Disorders &amp; Stroke (NINDS)</t>
  </si>
  <si>
    <t>Bai, O (corresponding author), Virginia Commonwealth Univ, Dept Biomed Engn, EEG &amp; BCI Lab, 401 W Main St,Room 1252, Richmond, VA 23284 USA.</t>
  </si>
  <si>
    <t>10.1016/j.clinph.2010.02.157</t>
  </si>
  <si>
    <t>WOS:000279068200017</t>
  </si>
  <si>
    <t>Yang, C; Wang, SY; Peng, YT; Zhang, ZC; Kong, L; Zhou, CY; Tao, Y; Chen, XY</t>
  </si>
  <si>
    <t>Yang, Cheng; Wang, Shiyu; Peng, Yiteng; Zhang, Zhichao; Kong, Lei; Zhou, Chuyi; Tao, Ye; Chen, Xiaoyu</t>
  </si>
  <si>
    <t>Online BCI systems: cross-subject motor imagery classification based on weighted time-domain feature extraction methods</t>
  </si>
  <si>
    <t>JOURNAL OF ENGINEERING DESIGN</t>
  </si>
  <si>
    <t>Brain-computer interface; cross-subject; motor imagery; online system; channel selection</t>
  </si>
  <si>
    <t>EEG; PCA; SVM</t>
  </si>
  <si>
    <t>Motor imagery electroencephalogram (MI-EEG) is becoming increasingly important. This paper solves the problem of online signal recognition for motor imagery across subjects by finding common features across multiple subjects to improve the generality of the classification model. We analysed the EEG data from left/right-hand motor imagery of eight subjects and proposed a weighted time-domain (WTD) feature extraction method based on a weighted channel screening method. The classification model constructed by combining this feature extraction method with the support vector machine (SVM) classification method was faster in classification and achieved good cross-subject classification accuracy (The average offline classification accuracy was 91.39%). In this paper, an online control system for asynchronous brain-controlled wheelchairs was built with good performance. The online average motor imagery classification accuracy was 81.67%, and the average response time was 1.36s. This method contributes to bringing the online Brain-computer interface (BCI) system out of the laboratory and into wider application.</t>
  </si>
  <si>
    <t>[Yang, Cheng; Peng, Yiteng; Zhang, Zhichao; Kong, Lei; Zhou, Chuyi; Tao, Ye; Chen, Xiaoyu] Hangzhou City Univ, Dept Ind Design, Hangzhou, Peoples R China; [Yang, Cheng; Wang, Shiyu; Chen, Xiaoyu] Zhejiang Univ, Coll Comp Sci &amp; Technol, Dept Ind Design, Hangzhou, Peoples R China; [Chen, Xiaoyu] 51 Huzhou St, Hangzhou 310015, Zhejiang, Peoples R China</t>
  </si>
  <si>
    <t>Hangzhou City University; Zhejiang University</t>
  </si>
  <si>
    <t>Chen, XY (corresponding author), 51 Huzhou St, Hangzhou 310015, Zhejiang, Peoples R China.</t>
  </si>
  <si>
    <t>rainchard@zju.edu.cn</t>
  </si>
  <si>
    <t>Wang, Yunxiao/AAQ-2686-2020</t>
  </si>
  <si>
    <t>JUN 2</t>
  </si>
  <si>
    <t>10.1080/09544828.2024.2326396</t>
  </si>
  <si>
    <t>WOS:001187329500001</t>
  </si>
  <si>
    <t>Riyadi, MA; Prakoso, T; Whaillan, FO; Wahono, MD; Hidayatno, A</t>
  </si>
  <si>
    <t>Riyadi, Munawar A.; Prakoso, Teguh; Whaillan, Finade Oza; Wahono, Marcelinus David; Hidayatno, Achmad</t>
  </si>
  <si>
    <t>Classification of EEG-based Brain Waves for Motor Imagery using Support Vector Machine</t>
  </si>
  <si>
    <t>2019 3RD INTERNATIONAL CONFERENCE ON ELECTRICAL ENGINEERING AND COMPUTER SCIENCE (ICECOS 2019)</t>
  </si>
  <si>
    <t>Brain-computer interface (BCI); electroencephalogram (EEG); Support Vector Machine (SVM); brain wave</t>
  </si>
  <si>
    <t>Brain-computer interface (BCI) is a hardware and software communication system that allows controlling computers or external devices to utilize brain activity. BCI allows users to control computers or other devices using brain waves. The process of identifying patterns of brain activity depends on the classification algorithm. A portable BCI system classifiers need the ability to identify patterns obtained from electroencephalogram (EEG) channels. In this research, a reliable classification system was built using the Support Vector Machine (SVM) classification algorithm that are suitable for recognizing brain wave patterns. The SVM algorithm was implemented to identify five activity patterns from 4-channel EEG when performing different motor movements. The results show that SVM performance is reliable in recognizing and distinguishing those patterns based on the EEG's gamma waves.</t>
  </si>
  <si>
    <t>[Riyadi, Munawar A.; Prakoso, Teguh; Whaillan, Finade Oza; Wahono, Marcelinus David; Hidayatno, Achmad] Diponegoro Univ, Elect Engn Dept, Semarang, Indonesia; [Riyadi, Munawar A.; Prakoso, Teguh] Diponegoro Univ, Ctr Biometr Biomat Biomechatron &amp; Biosignal Proc, Semarang, Indonesia</t>
  </si>
  <si>
    <t>Diponegoro University; Diponegoro University</t>
  </si>
  <si>
    <t>Riyadi, MA (corresponding author), Diponegoro Univ, Elect Engn Dept, Semarang, Indonesia.;Riyadi, MA (corresponding author), Diponegoro Univ, Ctr Biometr Biomat Biomechatron &amp; Biosignal Proc, Semarang, Indonesia.</t>
  </si>
  <si>
    <t>munawar@elektro.undip.ac.id</t>
  </si>
  <si>
    <t>; Prakoso, Teguh/ABA-4289-2020; Riyadi, Munawar/G-4039-2011; Hidayatno, Achmad/GPF-3959-2022</t>
  </si>
  <si>
    <t>Prakoso, Teguh/0000-0003-4584-6053; Hidayatno, Achmad/0000-0001-8282-0413; Riyadi, Munawar/0000-0003-1407-7116</t>
  </si>
  <si>
    <t>10.1109/icecos47637.2019.8984565</t>
  </si>
  <si>
    <t>WOS:000542029300084</t>
  </si>
  <si>
    <t>Tsui, CSL; Gan, JQ</t>
  </si>
  <si>
    <t>Yin, H; Tino, P; Corchado, E; Byrne, W; Yao, X</t>
  </si>
  <si>
    <t>Tsui, Chun Sing Louis; Gan, John Q.</t>
  </si>
  <si>
    <t>Asynchronous BCI control of a robot simulator with supervised online training</t>
  </si>
  <si>
    <t>INTELLIGENT DATA ENGINEERING AND AUTOMATED LEARNING - IDEAL 2007</t>
  </si>
  <si>
    <t>LECTURE NOTES IN COMPUTER SCIENCE</t>
  </si>
  <si>
    <t>adaptation; asynchronous BCI; brain-cornputer interface; online training; automated learning</t>
  </si>
  <si>
    <t>BRAIN-COMPUTER INTERFACES; MOTOR IMAGERY; CLASSIFICATION; COMMUNICATION; POTENTIALS</t>
  </si>
  <si>
    <t>Due to the non-stationarity of EEG signals, online training and adaptation is essential to EEG based brain-computer interface (BCI) systems. Asynchronous BCI offers more natural human-machine interaction, but it is a great challenge to train and adapt an asynchronous BCI online because the user's control intention and timing are usually unknown. This paper proposes a novel motor imagery based asynchronous BCI for controlling a simulated robot in a specifically designed environment which is able to provide user's control intention and timing during online experiments, so that online training and adaptation of motor imagery based asynchronous BCI can be effectively investigated. This paper also proposes an online training method, attempting to automate the process of finding the optimal parameter values of the BCI system to deal with non-stationary EEG signals. Experimental results have shown that the proposed method for online training of asynchronous BCI significantly improves the performance.</t>
  </si>
  <si>
    <t>[Tsui, Chun Sing Louis; Gan, John Q.] Univ Essex, Dept Comp Sci, BCI Grp, Colchester CO4 3SQ, Essex, England</t>
  </si>
  <si>
    <t>Tsui, CSL (corresponding author), Univ Essex, Dept Comp Sci, BCI Grp, Colchester CO4 3SQ, Essex, England.</t>
  </si>
  <si>
    <t>Tsui, Chun Sing Louis/0000-0002-6930-2280; Gan, John/0000-0003-1230-7643</t>
  </si>
  <si>
    <t>WOS:000252394900014</t>
  </si>
  <si>
    <t>Yamawaki, N; Wilke, C; Hue, L; Liu, Z; He, B</t>
  </si>
  <si>
    <t>Yamawaki, N.; Wilke, C.; Hue, L.; Liu, Z.; He, B.</t>
  </si>
  <si>
    <t>Enhancement of classification accuracy of a time-frequency approach for an EEG-based brain-computer interface</t>
  </si>
  <si>
    <t>METHODS OF INFORMATION IN MEDICINE</t>
  </si>
  <si>
    <t>Article; Proceedings Paper</t>
  </si>
  <si>
    <t>time-frequency analysis; EEG; brain-computer interface; motor imagery</t>
  </si>
  <si>
    <t>Objectives: The aim of this paper is to develop a new algorithm to enhance the performance of EEG-based brain-computer interface (BCI). Methods: We improved our time-frequency approach of classification of motor imagery (MI) tasks for BCI applications. The approach consists of Laplacian filtering, band-pass filtering and classification by correlation of time-frequency-spatial patterns. Results and Conclusions: Through off-line analysis of data collected during a cursor control experiment, we evaluated the capability of our new method to reveal major features of the EEG control for enhancement of MI classification accuracy. The pilot results in a human subject are promising, with an accuracy rate of 96.1%.</t>
  </si>
  <si>
    <t>Univ Minnesota, Dept Biomed Engn, Minneapolis, MN 55455 USA; Univ Illinois, Dept Bioengn, Chicago, IL USA</t>
  </si>
  <si>
    <t>University of Minnesota System; University of Minnesota Twin Cities; University of Illinois System; University of Illinois Chicago; University of Illinois Chicago Hospital</t>
  </si>
  <si>
    <t>He, B (corresponding author), Univ Minnesota, Dept Biomed Engn, 7-105 NHH,312 Church St SE, Minneapolis, MN 55455 USA.</t>
  </si>
  <si>
    <t>; Bin, He/LSL-2119-2024</t>
  </si>
  <si>
    <t>He, Bin/0000-0003-2944-8602; Wilke, Christopher/0000-0003-4147-6040; Liu, Zhongming/0000-0002-8773-4204</t>
  </si>
  <si>
    <t>10.1055/s-0038-1625398</t>
  </si>
  <si>
    <t>Computer Science; Health Care Sciences &amp; Services; Medical Informatics</t>
  </si>
  <si>
    <t>WOS:000244967200014</t>
  </si>
  <si>
    <t>Ushiba, J; Miyashita, S; Ono, T; Aono, K; Kodama, M; Masakado, Y</t>
  </si>
  <si>
    <t>Ibanez, J; GonzalezVargas, J; Azorin, JM; Akay, M; Pons, JL</t>
  </si>
  <si>
    <t>Ushiba, Junichi; Miyashita, Shotaro; Ono, Takashi; Aono, Koji; Kodama, Mitsuhiko; Masakado, Yoshihisa</t>
  </si>
  <si>
    <t>Feeling of Bodily Congruence to Visual Stimuli Improves Motor Imagery Based Brain-Computer Interface Control</t>
  </si>
  <si>
    <t>CONVERGING CLINICAL AND ENGINEERING RESEARCH ON NEUROREHABILITATION II, VOLS 1 AND 2</t>
  </si>
  <si>
    <t>Biosystems and Biorobotics</t>
  </si>
  <si>
    <t>Motor imagery based Brain-Computer Interface (BCI) utilizes an electrophysiological phenomenon of EEG power decrease in alpha frequency band, but its larger inter-subject variability limits the practical use. Here we tested three types of visual feedback objects in BCI from abstract to realistic scenarios during motor imagery to see its effect on self-induced changes of EEG power decrease. Double case study in hemiplegic stroke participants was also conducted to check its feasibility as neuro-facilitatory technique on the motor system. We found that a first person perspective of realistic visual feedback, which copies the participant's mental image, assisted the user to perform motor imagery resulting in generation of large EEG power decrease. The same result was found also in hemiplegic stroke patients. This study has clear implications for both the mechanism of mental process of motor imagery and the influence of feedback type on BCI performance.</t>
  </si>
  <si>
    <t>[Ushiba, Junichi; Miyashita, Shotaro; Ono, Takashi] Keio Univ, Fac Sci &amp; Technol, Fujisawa, Kanagawa, Japan; [Aono, Koji; Kodama, Mitsuhiko; Masakado, Yoshihisa] Tokai Univ, Dept Rehabil Sci, Sch Med, Hiratsuka, Kanagawa, Japan</t>
  </si>
  <si>
    <t>Keio University; Tokai University</t>
  </si>
  <si>
    <t>Ushiba, J (corresponding author), Keio Univ, Fac Sci &amp; Technol, Fujisawa, Kanagawa, Japan.</t>
  </si>
  <si>
    <t>ushiba@bio.keio.ac.jp</t>
  </si>
  <si>
    <t>Ushiba, Junichi/C-8890-2014</t>
  </si>
  <si>
    <t>10.1007/978-3-319-46669-9_147</t>
  </si>
  <si>
    <t>WOS:000405220400147</t>
  </si>
  <si>
    <t>Zhang, Y; Chen, WH; Lin, CL; Chu, JS; Meng, FG</t>
  </si>
  <si>
    <t>Zhang, Yue; Chen, Weihai; Lin, Chun-Liang; Chu, Junsheng; Meng, Fangang</t>
  </si>
  <si>
    <t>Research on Command Confirmation Unit Based on Motor Imagery EEG Signal Decoding Feedback in Brain-computer Interface</t>
  </si>
  <si>
    <t>2018 15TH INTERNATIONAL CONFERENCE ON CONTROL, AUTOMATION, ROBOTICS AND VISION (ICARCV)</t>
  </si>
  <si>
    <t>International Conference on Control Automation Robotics and Vision</t>
  </si>
  <si>
    <t>POTENTIALS</t>
  </si>
  <si>
    <t>The brain-computer interface (BCI) technology is a new human-machine interaction technology that realizes people to control external devices directly by thinking (i.e. electroencephalogram, EEG). However, because of the weakness and randomness of EEG signal, it is very complicated and difficult to process and identify the EEG signal recorded by the non-invasive BCI, and the decoding error often occurs. In view of the brain electrical signal decoding error, an experimental paradigm for simultaneous acquisition of spontaneous EEG and evoked EEG was designed, where the subjects generated the error-related potentials (ErrP) based on the decoded feedback of motor imagery EEG. We analyzed the EEG signal two times. The motor imagery EEG, which was the component of the EEG signal, was analyzed at the first time analysis. We classified the motor imagery EEG signal of left and right hand, then analyzed the classification method quantitatively using the Receiver Operating Characteristic (ROC) curves and the area under the curve (AUC). Although the EEG signal were influenced greatly by the individual difference, the AUC values can still reach more than 0.7. Meanwhile, the frequency domain characteristics were analyzed. The activation brain regions of the left-right hand motor imagery are mainly concentrated in the area of the perceptual motor cortex where is responsible for hand motion, but they will also be influenced by the artifacts of the surrounding channels. In the second time analysis, the ErrP was extracted and discussed. Its latency, waveform and amplitude characteristics were studied in the time domain and then a suitable classifier is selected by comparing a variety of classifiers, which classification accuracy is up to 90%. Therefore, the research based on the ErrP signal played a theoretical foundation for applying to the lower limb exoskeleton rehabilitation robot in the future, and ensured the feasibility of applying the command confirmation unit based on ErrP signal to the exoskeleton rehabilitation robot.</t>
  </si>
  <si>
    <t>[Zhang, Yue] Beihang Univ China &amp; Natl Chung Hsing Univ Taiwan, Sch Automat &amp; Elect Engn, Taichung, Taiwan; [Chen, Weihai] Beihang Univ, Sch Automat &amp; Elect Engn, Beijing, Peoples R China; [Lin, Chun-Liang] Natl Chung Hsing Univ, Dept Elect Engn, Taichuang, Taiwan; [Chu, Junsheng; Meng, Fangang] Capital Med Univ, Dept Neurosurg, Beijing Tian Tan Hosp, Beijing, Peoples R China</t>
  </si>
  <si>
    <t>Beihang University; National Chung Hsing University; Capital Medical University</t>
  </si>
  <si>
    <t>Chen, WH (corresponding author), Beihang Univ, Sch Automat &amp; Elect Engn, Beijing, Peoples R China.;Lin, CL (corresponding author), Natl Chung Hsing Univ, Dept Elect Engn, Taichuang, Taiwan.</t>
  </si>
  <si>
    <t>zhangyue1226@126.com; whchen@buaa.edu.cn; chunlin@dragon.nchu.edu.tw; chujunsheng@sina.com; mengfangang@126.com</t>
  </si>
  <si>
    <t>; Chen, Wei-Hai/AAU-3487-2020</t>
  </si>
  <si>
    <t>/0009-0006-1337-808X;</t>
  </si>
  <si>
    <t>Automation &amp; Control Systems; Robotics</t>
  </si>
  <si>
    <t>WOS:000459847700321</t>
  </si>
  <si>
    <t>Palumbo, A; Gramigna, V; Calabrese, B; Ielpo, N</t>
  </si>
  <si>
    <t>Palumbo, Arrigo; Gramigna, Vera; Calabrese, Barbara; Ielpo, Nicola</t>
  </si>
  <si>
    <t>Motor-Imagery EEG-Based BCIs in Wheelchair Movement and Control: A Systematic Literature Review</t>
  </si>
  <si>
    <t>motor-imagery (MI); brain-computer interface (BCI); electroencephalography (EEG); brain controller wheelchair (BCW)</t>
  </si>
  <si>
    <t>BRAIN-COMPUTER-INTERFACE; NEUROPHYSIOLOGICAL PROTOCOL; P300; COMMUNICATION; SSVEP</t>
  </si>
  <si>
    <t>The pandemic emergency of the coronavirus disease 2019 (COVID-19) shed light on the need for innovative aids, devices, and assistive technologies to enable people with severe disabilities to live their daily lives. EEG-based Brain-Computer Interfaces (BCIs) can lead individuals with significant health challenges to improve their independence, facilitate participation in activities, thus enhancing overall well-being and preventing impairments. This systematic review provides state-of-the-art applications of EEG-based BCIs, particularly those using motor-imagery (MI) data, to wheelchair control and movement. It presents a thorough examination of the different studies conducted since 2010, focusing on the algorithm analysis, features extraction, features selection, and classification techniques used as well as on wheelchair components and performance evaluation. The results provided in this paper could highlight the limitations of current biomedical instrumentations applied to people with severe disabilities and bring focus to innovative research topics.</t>
  </si>
  <si>
    <t>[Palumbo, Arrigo; Calabrese, Barbara; Ielpo, Nicola] Magna Graecia Univ Catanzaro, Dept Med &amp; Surg Sci, I-88100 Catanzaro, Italy; [Gramigna, Vera] Magna Graecia Univ Catanzaro, Neurosci Res Ctr, I-88100 Catanzaro, Italy</t>
  </si>
  <si>
    <t>Magna Graecia University of Catanzaro; Magna Graecia University of Catanzaro</t>
  </si>
  <si>
    <t>Gramigna, V (corresponding author), Magna Graecia Univ Catanzaro, Neurosci Res Ctr, I-88100 Catanzaro, Italy.</t>
  </si>
  <si>
    <t>palumbo@unicz.it; gramigna@unicz.it; calabreseb@unicz.it; ielpon@unicz.it</t>
  </si>
  <si>
    <t>; Calabrese, Barbara/H-2938-2016</t>
  </si>
  <si>
    <t>Ielpo, Nicola/0000-0002-7313-8882; Calabrese, Barbara/0000-0003-2123-8221</t>
  </si>
  <si>
    <t>SEP</t>
  </si>
  <si>
    <t>10.3390/s21186285</t>
  </si>
  <si>
    <t>WOS:000701081500001</t>
  </si>
  <si>
    <t>Neuper, C; Scherer, R; Wriessnegger, S; Pfurtscheller, G</t>
  </si>
  <si>
    <t>Neuper, Christa; Scherer, Reinhold; Wriessnegger, Selina; Pfurtscheller, Gert</t>
  </si>
  <si>
    <t>Motor imagery and action observation: Modulation of sensorimotor brain rhythms during mental control of a brain-computer interface</t>
  </si>
  <si>
    <t>Brain-computer interface (BCI); Motor imagery; Action observation; Event-related desynchronization; visual feedback</t>
  </si>
  <si>
    <t>VIRTUAL-REALITY; EEG; PREMOTOR; CORTEX; CLASSIFICATION; COMMUNICATION; PERCEPTION; ACTIVATION; IMITATION; DYNAMICS</t>
  </si>
  <si>
    <t>Objective: This study investigates the impact of a continuously presented visual feedback in the form of a grasping hand on the modulation of sensorimotor EEG rhythms during online control of a brain-computer interface (BCI). Methods: Two groups of participants were trained to use left or right hand motor imagery to control a specific output signal on a computer monitor: the experimental group controlled a moving hand performing an object-related grasp ('realistic feedback'), whereas the control group controlled a moving bar ('abstract feedback'). Continuous feedback was realized by using the outcome of a real-time classifier which was based on EEG signals recorded from left and right central sites. Results: The classification results show no difference between the two feedback groups. For both groups, ERD/ERS analysis revealed a significant larger ERD during feedback presentation compared to an initial motor imagery screening session without feedback. Increased ERD during online BCI control was particularly found for the lower alpha (8-10 Hz) and for the beta bands (16-20, 20-24 Hz). Conclusions: The present study demonstrates that visual BCI feedback clearly modulates sensorimotor EEG rhythms. When the feedback provides equivalent information oil both the continuous and final Outcomes of mental actions, the presentation form (abstract versus realistic) does not influence the performance in a BCI, at least in initial training sessions. Significance: The present results are of practical interest for classifier development and BCI use in the field of motor restoration. (C) 2008 International Federation of Clinical Neurophysiology. Published by Elsevier Ireland Ltd. All rights reserved.</t>
  </si>
  <si>
    <t>[Neuper, Christa; Scherer, Reinhold; Wriessnegger, Selina] Graz Univ, Dept Psychol, Sect Neuropsychol, A-8010 Graz, Austria; [Neuper, Christa; Scherer, Reinhold; Pfurtscheller, Gert] Graz Univ Technol, Inst Knowledge Discovery, Lab Brain Comp Interfaces, A-8010 Graz, Austria</t>
  </si>
  <si>
    <t>Neuper, C (corresponding author), Graz Univ, Dept Psychol, Sect Neuropsychol, Univ Pl 2-3, A-8010 Graz, Austria.</t>
  </si>
  <si>
    <t>Scherer, Reinhold/0000-0003-3407-9709; Wriessnegger, Selina Christin/0000-0003-4345-7310</t>
  </si>
  <si>
    <t>10.1016/j.clinph.2008.11.015</t>
  </si>
  <si>
    <t>WOS:000264040100004</t>
  </si>
  <si>
    <t>Kais, B; Ghaffari, F; Romaine, O; Djemal, R</t>
  </si>
  <si>
    <t>Kais, Belwafi; Ghaffari, Fakhreddine; Romaine, Olivier; Djemal, Ridha</t>
  </si>
  <si>
    <t>An embedded Implementation of home devices control system based on brain computer interface</t>
  </si>
  <si>
    <t>2014 26TH INTERNATIONAL CONFERENCE ON MICROELECTRONICS (ICM)</t>
  </si>
  <si>
    <t>International Conference on Microelectronics-ICM</t>
  </si>
  <si>
    <t>brain computer interface (BCI); electroencephalogram (EEG); EEG filters optimization; Motor imagery</t>
  </si>
  <si>
    <t>FPGA</t>
  </si>
  <si>
    <t>This paper presents a new embedded architecture for home devices control system directed through motor imagery actions captured by EEG headset. The proposed system is validated by an offline approach which consists on using available public data-set. These recording are always accompanied with noise and useless information related to the equipment, eyes blinking and many others resources of artifacts. For this reason, a complex EEG signal processing is required; starting by filtering EEG to keep the frequency of interest which is located on mu-rhytm and beta-rhytm bands in our case; followed by the extraction of useful feature to minimize the size of EEG data and enhance the probability of classifying each trial correctly. A prototype of our proposed embedded system has been implemented on Stratix IV FPGA Board. The prototype operates at 200 MHz and performs real-time classification with an execution delay of 0.5 second per trial and an accuracy average of 72%.</t>
  </si>
  <si>
    <t>[Kais, Belwafi] ENISo Sousse, Elect Engn Dept, BP 264, Erriyadh 4023, Tunisia; [Djemal, Ridha] King Saud Univ, Riyadh 11421, Saudi Arabia; [Kais, Belwafi; Ghaffari, Fakhreddine; Romaine, Olivier] Univ Cergy Pontoise, CNRS UMR8051, ETIS Lab, ENSEA, F-95014 Cergy Pontoise, France</t>
  </si>
  <si>
    <t>King Saud University; Centre National de la Recherche Scientifique (CNRS); CNRS - Institute for Information Sciences &amp; Technologies (INS2I); CY Cergy Paris Universite</t>
  </si>
  <si>
    <t>Kais, B (corresponding author), ENISo Sousse, Elect Engn Dept, BP 264, Erriyadh 4023, Tunisia.</t>
  </si>
  <si>
    <t>kais.belwafi@ensea.fr; fakhreddine.ghaffari@ensea.fr; Olivier.Romain@ensea.fr; rdjemal@ksu.edu.sa</t>
  </si>
  <si>
    <t>ghaffari, fakhreddine/AAG-7581-2020; romain, olivier/AAF-1985-2019; Belwafi, Kais/HTL-3755-2023</t>
  </si>
  <si>
    <t>romain, olivier/0000-0002-2172-1865; Belwafi, Kais/0000-0003-1455-439X;</t>
  </si>
  <si>
    <t>Engineering; Science &amp; Technology - Other Topics</t>
  </si>
  <si>
    <t>WOS:000398529400036</t>
  </si>
  <si>
    <t>Zare, S; Sun, Y</t>
  </si>
  <si>
    <t>IEEE COMPUTER SOC</t>
  </si>
  <si>
    <t>Zare, Soroush; Sun, Ye</t>
  </si>
  <si>
    <t>EEG Motor Imagery Classification using Integrated Transformer-CNN for Assistive Technology Control</t>
  </si>
  <si>
    <t>2024 IEEE/ACM CONFERENCE ON CONNECTED HEALTH: APPLICATIONS, SYSTEMS AND ENGINEERING TECHNOLOGIES, CHASE 2024</t>
  </si>
  <si>
    <t>IEEE International Conference on Connected Health-Applications, Systems and Engineering Technologies</t>
  </si>
  <si>
    <t>EEG; motor imagery classification; Convolutional Neural Networks (CNN); transformer encoder; BCI</t>
  </si>
  <si>
    <t>Neuromuscular disorders encompass pathological conditions affecting either the musculoskeletal system, the nervous system, or their interface. The majority of neuromuscular disorders lack complete curative treatments and thus necessitate efforts focused on improving rehabilitation and quality of life. Assistive technologies with brain-computer interface (BCI) control provide a promising solution to main patients' daily activities. Central to these technologies is the classification of electroencephalography (EEG) motor imagery signals, which is paramount for the operational success of BCIs. The endeavor to enhance the precision of these classifications has led to the exploration of various computational techniques, with convolutional neural networks (CNNs) being at the forefront due to their proficiency in handling spatial hierarchies in data. Despite the advancements, the quest for improved accuracy continues, especially in scenarios characterized by raw EEG data inputs, as opposed to the transformed data inputs (e.g., using Fast Fourier Transform (FFT)) commonly reported in existing literature. This study introduces an integrated CNN model augmented with a transformer encoder block, aiming to harness the inherent spatial-temporal features of EEG signals more effectively. Preliminary evaluations suggest an encouraging comparable performance with the studies reported in the field, thereby underscoring its potential utility in enhancing motor imagery classification for BCI applications.</t>
  </si>
  <si>
    <t>[Zare, Soroush; Sun, Ye] Univ Virginia, Dept Mech &amp; Aerosp Engn, Charlottesville, VA 22903 USA; [Sun, Ye] Univ Virginia, Dept Elect &amp; Comp Engn, Charlottesville, VA 22903 USA</t>
  </si>
  <si>
    <t>cyj7tf@virginia.edu; dzv7sg@virginia.edu</t>
  </si>
  <si>
    <t>10.1109/CHASE60773.2024.00033</t>
  </si>
  <si>
    <t>Computer Science; Engineering; Medical Informatics</t>
  </si>
  <si>
    <t>WOS:001294471900023</t>
  </si>
  <si>
    <t>Jiang, DR; Yin, JH</t>
  </si>
  <si>
    <t>Qi, L</t>
  </si>
  <si>
    <t>Jiang, Derong; Yin, Jinghai</t>
  </si>
  <si>
    <t>Research of Auxiliary Game Platform Based on BCI Technology</t>
  </si>
  <si>
    <t>2009 ASIA-PACIFIC CONFERENCE ON INFORMATION PROCESSING (APCIP 2009), VOL 1, PROCEEDINGS</t>
  </si>
  <si>
    <t>BCI; EEG; COM; MmotorImagery</t>
  </si>
  <si>
    <t>A brain computer interface (BCI) is a real-time communication system designed to allow users to voluntarily send messages or commands without sending them through the brain's normal output pathways. We designed a real-time BCI auxiliary game platform for motion disabled. Firstly, this system digitizes and stores the EEG signal, and exports the results of Signal Analysis on the Monitors to achieve the basic function which is playing pc-game through the human's ideas. COM technology allows the BCI platform has strong scalability to meet the needs of various types of brain computer interface solution for the games. Secondly, Fisher Distance criterion is used to select the features. And classification of Motor Imagery EEG evoked by a sequence of randomly mixed left and right motor imagery is performed by a back-propagation neural networks (BPNN), which is in order to recover the two EEG channels C3/C4. Finally, this paper presents one of these solutions, which control games by BCI based on motor imagery. This type of 130 solution is translating the motor imagery EEG into three control signals: left, right or stop. And then a simple game player can use it as an input device of to realize the function of operating games.</t>
  </si>
  <si>
    <t>[Jiang, Derong; Yin, Jinghai] Jiangxi Bluesky Univ, Inst Informat Technol, Nanchang, Jiangxi, Peoples R China</t>
  </si>
  <si>
    <t>Jiang, DR (corresponding author), Jiangxi Bluesky Univ, Inst Informat Technol, Nanchang, Jiangxi, Peoples R China.</t>
  </si>
  <si>
    <t>jdr_jiang@163.com; crazy_henry@126.com</t>
  </si>
  <si>
    <t>10.1109/APCIP.2009.111</t>
  </si>
  <si>
    <t>WOS:000274982200106</t>
  </si>
  <si>
    <t>Jia, WY; Zhao, XH; Liu, HS; Gao, XR; Gao, SK; Yang, FS</t>
  </si>
  <si>
    <t>ieee</t>
  </si>
  <si>
    <t>Classification of single trial EEG during motor imagery based on ERD</t>
  </si>
  <si>
    <t>PROCEEDINGS OF THE 26TH ANNUAL INTERNATIONAL CONFERENCE OF THE IEEE ENGINEERING IN MEDICINE AND BIOLOGY SOCIETY, VOLS 1-7</t>
  </si>
  <si>
    <t>PROCEEDINGS OF ANNUAL INTERNATIONAL CONFERENCE OF THE IEEE ENGINEERING IN MEDICINE AND BIOLOGY SOCIETY</t>
  </si>
  <si>
    <t>BCI; ERD; motor imagery</t>
  </si>
  <si>
    <t>DESYNCHRONIZATION</t>
  </si>
  <si>
    <t>EEG-based, brain computer interface (BCI) provides a completely new communication channel between human brain and computer. Classification of EEG signals is a difficult task, especially when the classification has to be preformed on a single-trial EEG to continuously control a device. Event related desynchronization (ERD) has proven to be induced on the contralateral sensorimotor area during imagination of a left or right hand movement. In this paper, we introduced a quantification of ERD, with which a lower classification error rate and a higher information transfer rate can be obtained. The performance was tested by the Graz dataset for BCI competition 2003.</t>
  </si>
  <si>
    <t>Tsinghua Univ, Dept Biomed Engn, Beijing 100084, Peoples R China</t>
  </si>
  <si>
    <t>Tsinghua University</t>
  </si>
  <si>
    <t>Jia, WY (corresponding author), Tsinghua Univ, Dept Biomed Engn, Beijing 100084, Peoples R China.</t>
  </si>
  <si>
    <t>Yang, Fangshu/AAN-6348-2020</t>
  </si>
  <si>
    <t>Jia, Wenyan/0009-0009-2260-0975</t>
  </si>
  <si>
    <t>1-7</t>
  </si>
  <si>
    <t>Computer Science; Engineering; Research &amp; Experimental Medicine; Neurosciences &amp; Neurology; Radiology, Nuclear Medicine &amp; Medical Imaging</t>
  </si>
  <si>
    <t>WOS:000225461800002</t>
  </si>
  <si>
    <t>Mzurikwao, D; Ang, CS; Samuel, OW; Asogbon, MG; Li, XX; Li, GL</t>
  </si>
  <si>
    <t>Mzurikwao, Deogratias; Ang, Chee Siang; Samuel, Oluwarotimi Williams; Asogbon, Mojisola Grace; Li, Xiangxin; Li, Guanglin</t>
  </si>
  <si>
    <t>Efficient Channel Selection Approach for Motor Imaginary Classification based on Convolutional Neural Network</t>
  </si>
  <si>
    <t>2018 IEEE INTERNATIONAL CONFERENCE ON CYBORG AND BIONIC SYSTEMS (CBS)</t>
  </si>
  <si>
    <t>Convolutional Neural Network (CNN); machine learning; Electroencephalography (EEG); brain-computer interface (BCI); feature maps</t>
  </si>
  <si>
    <t>Brain Computer Interface (BCI) may be the only way to communicate and control for disabled people. Someone's intention can be decoded from their brainwaves during motor imagery action. This can be used to help them control their environment without making any physical movement. To decode someone's intention from brainwaves during motor imagery activities, machine learning models trained on features extracted from the acquired EEG signals have been used. Although the technique has been successful, it has encountered several limitations and difficulties especially during feature extraction. Moreover, many current BCI systems rely on a large number of channels (e.g. 64) to capture spatial information which are necessary during training a machine learning model. In this study, Convolutional Neural Network (CNN) is used to decode five motor imagery intentions from EEG signals obtained from four subjects using 64 channels EEG device. A CNN model trained on raw EEG data managed to achieve a mean classification accuracy of 99.7%. Channel selection based on learned weights extracted from a trained CNN model has been performed with subsequent models trained on only two selected channels with higher weights attained a high accuracy (average of 98%) among three participants out of four.</t>
  </si>
  <si>
    <t>[Mzurikwao, Deogratias; Ang, Chee Siang] Univ Kent, Sch Engn &amp; Digital Arts, Intelligent Interact Res Grp, Canterbury CT2 7NT, Kent, England; [Samuel, Oluwarotimi Williams; Asogbon, Mojisola Grace; Li, Xiangxin; Li, Guanglin] Chinese Acad Sci, SIAT, CAS Key Lab Human Machine Intelligence Synergy Sy, Shenzhen 518055, Guangdong, Peoples R China; [Asogbon, Mojisola Grace] Univ Chinese Acad Sci, Shenzhen Coll Adv Technol, Shenzhen 518055, Guangdong, Peoples R China</t>
  </si>
  <si>
    <t>University of Kent; Chinese Academy of Sciences; Shenzhen Institute of Advanced Technology, CAS; Chinese Academy of Sciences; University of Chinese Academy of Sciences, CAS</t>
  </si>
  <si>
    <t>Ang, CS (corresponding author), Univ Kent, Sch Engn &amp; Digital Arts, Intelligent Interact Res Grp, Canterbury CT2 7NT, Kent, England.</t>
  </si>
  <si>
    <t>c.s.ang@kent.ac.uk</t>
  </si>
  <si>
    <t>; MZURIKWO, DEOGRATIAS/AAP-2837-2020; Samuel, Oluwarotimi/AAE-6996-2020; li, xiangxin/NQF-2927-2025</t>
  </si>
  <si>
    <t>Li, Guanglin/0000-0001-9016-2617; MZURIKWAO, DEOGRATIAS/0000-0003-3405-4771; Samuel, Oluwarotimi W./0000-0003-1945-1402; Ang, Chee Siang/0000-0002-1109-9689</t>
  </si>
  <si>
    <t>WOS:000468469300081</t>
  </si>
  <si>
    <t>Yassin, FM; Norwawi, NM; Noh, NA; Alias, A; Tamam, S</t>
  </si>
  <si>
    <t>Yassin, Fouziah Md; Norwawi, Norita Md; Noh, Nor Azila; Alias, Afishah; Tamam, Sofina</t>
  </si>
  <si>
    <t>A FUSION OF A DISCRETE WAVELET TRANSFORM-BASED AND TIME-DOMAIN FEATURE EXTRACTION FOR MOTOR IMAGERY CLASSIFICATION</t>
  </si>
  <si>
    <t>JORDANIAN JOURNAL OF COMPUTERS AND INFORMATION TECHNOLOGY</t>
  </si>
  <si>
    <t>Motor imagery; Feature extraction; Electroencephalogram (EEG); Discrete wavelet transform; Brain-computer interface</t>
  </si>
  <si>
    <t>BRAIN-COMPUTER INTERFACES; EEG SIGNALS; SELECTION</t>
  </si>
  <si>
    <t>A motor imagery (MI)-based brain-computer interface (BCI) has performed successfully as a control mechanism with multiple electroencephalogram (EEG) channels. For practicality, fewer EEG channels are preferable. This paper investigates a single-channel EEG signal for MI. However, there are insufficient features that can be extracted due to a single-channel EEG signal being used in one region of the brain. An effective feature extraction technique plays a critical role in overcoming this limitation. Therefore, this study proposes a fusion of discrete wavelet transform (DWT)-based and time-domain feature extraction to provide more relevant information for classification. The highest accuracy obtained on the BCI Competition III (IVa) dataset is 87.5% with logistic regression (LR) while the OpenBMI dataset attained the highest accuracy of 93% with support vector machine (SVM) as the classifier. Addressing the potential of enhancing the performance of a single EEG channel located on the forehead, the achieved result is relatively promising.</t>
  </si>
  <si>
    <t>[Yassin, Fouziah Md] Uni Sains Islam Malaysia, Fac Sci &amp; Tech, Sabah, Malaysia; [Yassin, Fouziah Md] Univ Malaysia Sabah, Fac Sci &amp; Nat Resources, Sabah, Malaysia; [Norwawi, Norita Md] Univ Sains Islam Malaysia, Fac Sci &amp; Technol, Cyber Secur &amp; Syst Res Unit, Negeri Sembilan, Malaysia; [Noh, Nor Azila; Tamam, Sofina] Univ Sains Islam Malaysia, Brain &amp; Behav Res Grp, Negeri Sembilan, Malaysia; [Noh, Nor Azila] Univ Sains Islam Malaysia, Fac Med &amp; Hlth Sci, Negeri Sembilan, Malaysia; [Alias, Afishah] Univ Tun Hussein Onn, Fac Appl Sci &amp; Technol, Johor Baharu, Malaysia; [Tamam, Sofina] Univ Sains Islam Malaysia, Brain &amp; Behav Res Grp, Negeri Sembilan, Malaysia</t>
  </si>
  <si>
    <t>Universiti Malaysia Sabah; Universiti Sains Islam Malaysia; Universiti Sains Islam Malaysia; Universiti Sains Islam Malaysia; University of Tun Hussein Onn Malaysia; Universiti Sains Islam Malaysia</t>
  </si>
  <si>
    <t>Yassin, FM (corresponding author), Uni Sains Islam Malaysia, Fac Sci &amp; Tech, Sabah, Malaysia.;Yassin, FM (corresponding author), Univ Malaysia Sabah, Fac Sci &amp; Nat Resources, Sabah, Malaysia.</t>
  </si>
  <si>
    <t>fouziahy@raudah.usim.edu.my; norita@usim.edu.my; azila@usim.edu.my; afishah@uthm.edu.my; sofinatamam@usim.edu.my</t>
  </si>
  <si>
    <t>Norwawi, Norita/A-2080-2013; Alias, Afishah/AAO-9827-2021</t>
  </si>
  <si>
    <t>WOS:001296989500001</t>
  </si>
  <si>
    <t>Li, Y; Liu, BC; Tian, YJ</t>
  </si>
  <si>
    <t>Li, Yang; Liu, Bocheng; Tian, Yujia</t>
  </si>
  <si>
    <t>Automated Motor Imagery Detection Through EEG Analysis and Deep Learning Models for Brain-Computer Interface Applications</t>
  </si>
  <si>
    <t>INTERNATIONAL JOURNAL OF ADVANCED COMPUTER SCIENCE AND APPLICATIONS</t>
  </si>
  <si>
    <t>Brain-computer interface (BCI); Electroencephalogram (EEG); motor imagery; deep learning; classification</t>
  </si>
  <si>
    <t>CLASSIFICATION; SIGNAL</t>
  </si>
  <si>
    <t>The classification of motor imagery holds significant importance within brain-computer interface (BCI) research as it allows for the identification of a person's intention, such as controlling a prosthesis. Motor imagery involves the brain's dynamic activities, commonly captured using electroencephalography (EEG) to record nonstationary time series with low signal-to-noise ratios. While various methods exist for extracting features from EEG signals, the application of deep learning techniques to enhance the representation of EEG features for improved motor imagery classification performance has been relatively unexplored. This research introduces a new deep learning approach based on two-dimensional CNNs with different architectures. Specifically, time-frequency domain representations of EEGs obtained by the wavelet transform method with different mother wavelets (Mexicanhat, Cmor, and Cgaus). The BCI competition IV-2a dataset held in 2008 was utilized for testing the proposed deep learning approaches. Several experiments were conducted and the results showed that the proposed method achieved better performance than some state-of-the-art methods. The findings of this study showed that the architecture of CNN and specifically the number of convolution layers in this deep learning network has a significant effect on the classification performance of motor imagery brain data. In addition, the mother wavelet in the wavelet transform is very important in the classification performance of motor imagery EEG data.</t>
  </si>
  <si>
    <t>[Li, Yang] Harbin Univ, Sch Phys Educ, Harbin 150086, Heilongjiang, Peoples R China; [Liu, Bocheng; Tian, Yujia] Nanchang Univ, Sch Software, Nanchang 330047, Jiangxi, Peoples R China</t>
  </si>
  <si>
    <t>Harbin University; Nanchang University</t>
  </si>
  <si>
    <t>Liu, BC (corresponding author), Nanchang Univ, Sch Software, Nanchang 330047, Jiangxi, Peoples R China.</t>
  </si>
  <si>
    <t>田, 宇甲/HTO-1083-2023</t>
  </si>
  <si>
    <t>MAY</t>
  </si>
  <si>
    <t>WOS:001315627600014</t>
  </si>
  <si>
    <t>Wang, L; Zhang, X; Zhong, XF; Zhang, Y</t>
  </si>
  <si>
    <t>Wang, Li; Zhang, Xiong; Zhong, Xuefei; Zhang, Yu</t>
  </si>
  <si>
    <t>Analysis and classification of speech imagery EEG for BCI</t>
  </si>
  <si>
    <t>Brain-computer interface (BCI); Common spatial patterns (CSP); Electroencephalogram (EEG); Speech imagery; Support vector machine (SVM)</t>
  </si>
  <si>
    <t>BRAIN-COMPUTER INTERFACES; SINGLE-TRIAL EEG; CHANNEL SELECTION; MOTOR; (DE)SYNCHRONIZATION; PERFORMANCE; FMRI</t>
  </si>
  <si>
    <t>Electroencephalogram (EEG) is generally used in brain-computer interface (BCI), including motor imagery, mental task, steady-state evoked potentials (SSEPs) and P300. In order to complement existing motor-based control paradigms, this paper proposed a novel imagery mode: speech imagery. Chinese characters are monosyllabic and one Chinese character can express one meaning. Thus, eight Chinese subjects were required to read two Chinese characters in mind in this experiment. There were different shapes, pronunciations and meanings between two Chinese characters. Feature vectors of EEG signals were extracted by common spatial patterns (CSP), and then these vectors were classified by support vector machine (SVM). The accuracy between two characters was not superior. However, it was still effective to distinguish whether subjects were reading one character in mind, and the accuracies were between 73.65% and 95.76%. The results were better than vowel speech imagery, and they were suitable for asynchronous BCI. BCI systems will be also extended from motor imagery to combine motor imagery and speech imagery in the future. (C) 2013 Elsevier Ltd. All rights reserved.</t>
  </si>
  <si>
    <t>[Wang, Li; Zhang, Xiong; Zhong, Xuefei; Zhang, Yu] Southeast Univ, Sch Elect Sci &amp; Engn, Nanjing 210096, Jiangsu, Peoples R China</t>
  </si>
  <si>
    <t>Southeast University - China</t>
  </si>
  <si>
    <t>Wang, L (corresponding author), Southeast Univ, Sch Elect Sci &amp; Engn, Nanjing 210096, Jiangsu, Peoples R China.</t>
  </si>
  <si>
    <t>230119219@seu.edu.cn</t>
  </si>
  <si>
    <t>Zhang, Yu/J-1796-2015; Zhang, Ziqi/HHN-7875-2022</t>
  </si>
  <si>
    <t>Zhang, Yu/0000-0003-4087-6544;</t>
  </si>
  <si>
    <t>10.1016/j.bspc.2013.07.011</t>
  </si>
  <si>
    <t>WOS:000329885000046</t>
  </si>
  <si>
    <t>Gaur, Pramod; Pachori, Rain Bilas; Wang, Hui; Prasad, Girijesh</t>
  </si>
  <si>
    <t>A Multivariate Empirical Mode Decomposition based Filtering for Subject Independent BCI</t>
  </si>
  <si>
    <t>2016 27TH IRISH SIGNALS AND SYSTEMS CONFERENCE (ISSC)</t>
  </si>
  <si>
    <t>Brain-computer interface (BCI); empirical mode decomposition (EMD); common spatial pattern (CSP); linear discriminant analysis (LDA) classifier</t>
  </si>
  <si>
    <t>BRAIN-COMPUTER INTERFACE; CLASSIFICATION</t>
  </si>
  <si>
    <t>Goal: A brain-computer interface (BCI) provides a way to translate the motion intentions of human using brain signals such as electroencephalogram (EEG) into control commands. EEG signals are highly subject specific and non-stationary. One of the most challenging tasks is to classify motion intentions since the recorded EEG signals have inherent non-stationarities which are due to changes in the signal properties over time within as well as across sessions. Thus it becomes difficult to achieve a stable operation of BCI. Method: We present a novel filtering method based on the multivariate empirical mode decomposition (MEMD) using subject independent BCI (MEMD-SI-BCI) for classification of motor imagery (MI) based EEG signals to achieve enhanced BCI. A subject independent BCI can be used immediately by the new user without using the user's training data. The MEMD method helps to utilize the cross channel information and enhance localization properties. It decomposes multichannel EEG signals into a set of multivariate intrinsic mode functions (MIMFs). These MIMFs can be considered narrow-band, amplitude and frequency modulated (AM-FM) signals. The statistical property, namely, mean frequency measure of these MIMFs has been used to combine these MIMFs to compute the enhanced EEG signals which have major contributions due to mu and beta rhythms over the motor cortex region. The objective of the proposed method is to filter EEG signals before feature extraction and classification to enhance the features separability and ultimately the BCI task classification performance. The common spatial pattern (CSP) feature has been computed from the enhanced EEG signals and has been used as a feature set for classification of left hand and right hand MIs using a linear discriminant analysis (LDA) based classification method. Results: We have achieved an improvement of &gt; 11% in the evaluation stage using the MEMD-SI-BCI method when compared with SI-BCI. Significance: This study helps to develop BCI systems with intuitive motor imaginations, thus facilitates broad use of noninvasive BCIs. We have evaluated our method on publicly available BCI competition IV dataset 2A and have obtained improved performance.</t>
  </si>
  <si>
    <t>[Gaur, Pramod; Prasad, Girijesh] Univ Ulster, Intelligent Syst Res Ctr, Lderry, North Ireland; [Pachori, Rain Bilas] Indian Inst Technol Indore, Discipline Elect Engn, Indore, Madhya Pradesh, India; [Wang, Hui] Univ Ulster, Sch Comp &amp; Math, Jordanstown, North Ireland</t>
  </si>
  <si>
    <t>Gaur, P (corresponding author), Univ Ulster, Intelligent Syst Res Ctr, Lderry, North Ireland.</t>
  </si>
  <si>
    <t>Wang, Hui/HMU-9512-2023; Pachori, Ram/AAO-5839-2020; Gaur, Pramod/AAE-7609-2022</t>
  </si>
  <si>
    <t>WOS:000391254900042</t>
  </si>
  <si>
    <t>Obermaier, B; Müller, GR; Pfurtscheller, G</t>
  </si>
  <si>
    <t>Virtual keyboard controlled by spontaneous EEG activity</t>
  </si>
  <si>
    <t>brain-computer interface (BCI); electroencephalogram (EEG); virtual keyboard (VK)</t>
  </si>
  <si>
    <t>BRAIN-COMPUTER INTERFACE; COMMUNICATION</t>
  </si>
  <si>
    <t>A virtual keyboard (VK) is a letter spelling device operated for example by spontaneous electroencephalogram (EEG), whereby the EEG is modulated by mental hand and leg motor imagery. We report on three able-bodied subjects, operating the VK. The ability in the use of the VK varies between 0.85 and 0.5 letters/min in error-free writing.</t>
  </si>
  <si>
    <t>Graz Univ Technol, Ludwig Boltzmann Inst Med Informat &amp; Neuroinforma, A-8020 Graz, Austria; Graz Univ Technol, Inst Biomed Engn, Dept Med Informat, A-8020 Graz, Austria</t>
  </si>
  <si>
    <t>Ludwig Boltzmann Institute; Ludwig Boltzmann Institute for Medical Informatics; Graz University of Technology; Graz University of Technology</t>
  </si>
  <si>
    <t>Obermaier, B (corresponding author), Graz Univ Technol, Ludwig Boltzmann Inst Med Informat &amp; Neuroinforma, A-8020 Graz, Austria.</t>
  </si>
  <si>
    <t>obermai@dpmi.tu-graz.ac.at</t>
  </si>
  <si>
    <t>10.1109/TNSRE.2003.816866</t>
  </si>
  <si>
    <t>WOS:000188541100012</t>
  </si>
  <si>
    <t>Triana-Guzman, N; Orjuela-Cañon, AD; Jutinico, AL; Mendoza-Montoya, O; Antelis, JM</t>
  </si>
  <si>
    <t>Triana-Guzman, Nayid; Orjuela-Canon, Alvaro D.; Jutinico, Andres L.; Mendoza-Montoya, Omar; Antelis, Javier M.</t>
  </si>
  <si>
    <t>Decoding EEG rhythms offline and online during motor imagery for standing and sitting based on a brain-computer interface</t>
  </si>
  <si>
    <t>brain-computer interface (BCI); electroencephalogram (EEG); motor imagery (MI); sit-stand; filter bank common spatial pattern (FBCSP); regularized linear discriminant analysis (RLDA); online BCI</t>
  </si>
  <si>
    <t>SINGLE-TRIAL EEG; BCI; CLASSIFICATION; DYNAMICS; SIGNALS</t>
  </si>
  <si>
    <t>Motor imagery (MI)-based brain-computer interface (BCI) systems have shown promising advances for lower limb motor rehabilitation. The purpose of this study was to develop an MI-based BCI for the actions of standing and sitting. Thirty-two healthy subjects participated in the study using 17 active EEG electrodes. We used a combination of the filter bank common spatial pattern (FBCSP) method and the regularized linear discriminant analysis (RLDA) technique for decoding EEG rhythms offline and online during motor imagery for standing and sitting. The offline analysis indicated the classification of motor imagery and idle state provided a mean accuracy of 88.51 +/- 1.43% and 85.29 +/- 1.83% for the sit-to-stand and stand-to-sit transitions, respectively. The mean accuracies of the sit-to-stand and stand-to-sit online experiments were 94.69 +/- 1.29% and 96.56 +/- 0.83%, respectively. From these results, we believe that the MI-based BCI may be useful to future brain-controlled standing systems.</t>
  </si>
  <si>
    <t>[Triana-Guzman, Nayid] Univ Antonio Narino, Doctorado Ciencia Aplicada, Bogota, Colombia; [Orjuela-Canon, Alvaro D.] Univ Rosario, Sch Med &amp; Hlth Sci, Bogota, Colombia; [Jutinico, Andres L.] Univ Antonio Narino, Fac Ingn Mecan Elect &amp; Biomed, Bogota, Colombia; [Mendoza-Montoya, Omar; Antelis, Javier M.] Tecnol Monterrey, Escuela Ingn &amp; Ciencias, Monterrey, Mexico</t>
  </si>
  <si>
    <t>Universidad Antonio Narino; Universidad del Rosario; Universidad Antonio Narino; Tecnologico de Monterrey</t>
  </si>
  <si>
    <t>Mendoza-Montoya, O (corresponding author), Tecnol Monterrey, Escuela Ingn &amp; Ciencias, Monterrey, Mexico.</t>
  </si>
  <si>
    <t>omendoza83@tec.mx</t>
  </si>
  <si>
    <t>Mendoza Montoya, Omar/AFP-7394-2022; ALARCON, ANDRES/M-2022-2018; Antelis, Javier/W-3381-2019; Triana Guzman, Nayid/OKS-1431-2025</t>
  </si>
  <si>
    <t>Mendoza Montoya, Omar/0000-0002-4355-886X; Triana Guzman, Nayid/0000-0002-3367-5544; Antelis, Javier M./0000-0003-3377-0813</t>
  </si>
  <si>
    <t>SEP 2</t>
  </si>
  <si>
    <t>10.3389/fninf.2022.961089</t>
  </si>
  <si>
    <t>WOS:000872894600001</t>
  </si>
  <si>
    <t>Ko, KE; Sim, KB</t>
  </si>
  <si>
    <t>Ko, Kwang-Eun; Sim, Kwee-Bo</t>
  </si>
  <si>
    <t>Harmony Search-based Hidden Markov Model Optimization for Online Classification of Single Trial EEGs during Motor Imagery Tasks</t>
  </si>
  <si>
    <t>INTERNATIONAL JOURNAL OF CONTROL AUTOMATION AND SYSTEMS</t>
  </si>
  <si>
    <t>BCI; EEG; harmony search algorithm; hidden Markov model; motor imagery; optimization</t>
  </si>
  <si>
    <t>TIME-SERIES PREDICTION; ALGORITHM; HMM</t>
  </si>
  <si>
    <t>This paper presents an improved method based on single trial EEG data for the online classification of motor imagery tasks for brain-computer interface (BCI) applications. The ultimate goal of this research is the development of a novel classification method that can be used to control an interactive robot agent platform via a BCI system. The proposed classification process is an adaptive learning method based on an optimization process of the hidden Markov model (HMM), which is, in turn, based on meta-heuristic algorithms. We utilize an optimized strategy for the HMM in the training phase of time-series EEG data during motor imagery-related mental tasks. However, this process raises important issues of model interpretation and complexity control. With these issues in mind, we explore the possibility of using a harmony search algorithm that is flexible and thus allows the elimination of tedious parameter assignment efforts to optimize the HMM parameter configuration. In this paper, we illustrate a sequential data analysis simulation, and we evaluate the optimized HMM. The performance results of the proposed BCI experiment show that the optimized HMM classifier is more capable of classifying EEG datasets than ordinary HMM during motor imagery tasks.</t>
  </si>
  <si>
    <t>[Ko, Kwang-Eun; Sim, Kwee-Bo] Chung Ang Univ, Sch Elect &amp; Elect Engn, Seoul 156756, South Korea</t>
  </si>
  <si>
    <t>Chung Ang University</t>
  </si>
  <si>
    <t>Sim, KB (corresponding author), Chung Ang Univ, Sch Elect &amp; Elect Engn, 221 Heukseok Dong, Seoul 156756, South Korea.</t>
  </si>
  <si>
    <t>kkeun@cau.ac.kr; kbsim@cau.ac.kr</t>
  </si>
  <si>
    <t>10.1007/s12555-012-0035-z</t>
  </si>
  <si>
    <t>WOS:000319548000020</t>
  </si>
  <si>
    <t>Jafarifarmand, A; Badamchizadeh, MA</t>
  </si>
  <si>
    <t>Jafarifarmand, Aysa; Badamchizadeh, Mohammad Ali</t>
  </si>
  <si>
    <t>EEG Artifacts Handling in a Real Practical Brain-Computer Interface Controlled Vehicle</t>
  </si>
  <si>
    <t>Brain-computer interface (BCI); electroencephalogram (EEG); motor imagery (MI); artifacts; BCI-based RC car</t>
  </si>
  <si>
    <t>MOTOR IMAGERY; SPEED</t>
  </si>
  <si>
    <t>One of the main issues restricting the practical efficiency of brain-computer interface (BCI) systems is the inevitable occurrence of physiological artifacts during electroencephalography (EEG) recordings. The effects of the artifacts are, however, mostly discarded in practical BCI systems, due to the time-consuming and complicated computational processes. This paper presents the influences of the artifacts and the efficiency of reducing these influences in a practical BCI. Ocular and muscular artifacts are considered due to the high-amplitude and frequent presence. The paradigm is designed based on the mental controlling of a radio-control (RC) car. Two motor imagery commands, containing the imagination of movement of left/right hand, are used to navigate the BCI-based RC car to turn left/right. The results indicate that the artifacts can highly affect the system performance; reducing their influence significantly improves the efficiency.</t>
  </si>
  <si>
    <t>[Jafarifarmand, Aysa; Badamchizadeh, Mohammad Ali] Univ Tabriz, Fac Elect &amp; Comp Engn, Tabriz 5165677861, Iran</t>
  </si>
  <si>
    <t>Badamchizadeh, MA (corresponding author), Univ Tabriz, Fac Elect &amp; Comp Engn, Tabriz 5165677861, Iran.</t>
  </si>
  <si>
    <t>a.jafari@tabrizu.ac.ir; mbadamchi@tabrizu.ac.ir</t>
  </si>
  <si>
    <t>Badamchizadeh, Mohammad Ali/JBJ-2214-2023; JafariFarmand, Aysa/O-2194-2018; Badamchizadeh, Mohammad Ali/A-3061-2016</t>
  </si>
  <si>
    <t>JafariFarmand, Aysa/0000-0001-8960-5708; Badamchizadeh, Mohammad Ali/0000-0002-9999-1152</t>
  </si>
  <si>
    <t>10.1109/TNSRE.2019.2915801</t>
  </si>
  <si>
    <t>WOS:000471121000010</t>
  </si>
  <si>
    <t>Shi, J; Tang, JM; Lu, ZH; Zhang, RL; Yang, J; Guo, QQ; Zhang, DX</t>
  </si>
  <si>
    <t>Shi, Ji; Tang, Jiaming; Lu, Zhihuan; Zhang, Ruolin; Yang, Jun; Guo, Qiuquan; Zhang, Dongxing</t>
  </si>
  <si>
    <t>A brain topography graph embedded convolutional neural network for EEG-based motor imagery classification</t>
  </si>
  <si>
    <t>Motor imagery; Graph embedding; EEG; Convolutional neural network (CNN); Temporal convolutional networks (TCN)</t>
  </si>
  <si>
    <t>SPATIAL FILTERS; MOVEMENT</t>
  </si>
  <si>
    <t>Brain-computer interface (BCI) based on motor imagery EEG (MI-EEG) has been used extensively in health care, device control, entertainment, and other fields. MI-EEG signals consist of multiple channels that exhibit a specific topological relationship. However, many existing methods based on deep learning do not make good use of the multi-electrode characteristics of EEG signals. To further improve the decoding performance of MI-EEG, this study proposes a novel method combining the brain topology graph embedding and convolutional neural network (CNN) for MI-EEG classification. Specifically, mutual information is used to measure the relationship between EEG channels. A graph convolutional network (GCN) is employed to embed the topological relationship. Following this, a convolutional block using depth-wise convolution is built to extract spatial-temporal features, while a temporal convolutional network (TCN) is used to extract advanced temporal features. The model's performance is evaluated on BCICIV-2a and HGD datasets. The experimental results show that the classification accuracy of the proposed model is 80.46% and 94.38%, respectively, outperforming existing methods. Moreover, ablation experiments and feature visualization show that graph embedding can significantly improve the decoding performance of MI-EEG.</t>
  </si>
  <si>
    <t>[Shi, Ji; Tang, Jiaming; Lu, Zhihuan; Zhang, Ruolin; Yang, Jun; Guo, Qiuquan; Zhang, Dongxing] Univ Elect Sci &amp; Technol China, Shenzhen Inst Adv Study, Guanlan St, Shenzhen 518110, Guangdong, Peoples R China</t>
  </si>
  <si>
    <t>University of Electronic Science &amp; Technology of China; Shenzhen Institute for Advanced Study, UESTC</t>
  </si>
  <si>
    <t>Guo, QQ; Zhang, DX (corresponding author), Univ Elect Sci &amp; Technol China, Shenzhen Inst Adv Study, Guanlan St, Shenzhen 518110, Guangdong, Peoples R China.</t>
  </si>
  <si>
    <t>guoqiuquan@uestc.edu.cn; zhangdongxing@uestc.edu.cn</t>
  </si>
  <si>
    <t>B</t>
  </si>
  <si>
    <t>10.1016/j.bspc.2024.106401</t>
  </si>
  <si>
    <t>MAY 2024</t>
  </si>
  <si>
    <t>WOS:001236886400001</t>
  </si>
  <si>
    <t>Wei, X; Chen, K; Liu, Y; Zhao, XF; Ma, L; Ai, QS; Liu, Q</t>
  </si>
  <si>
    <t>Wei, Xin; Chen, Kun; Liu, Yang; Zhao, Xuefei; Ma, Li; Ai, Qingsong; Liu, Quan</t>
  </si>
  <si>
    <t>Control of multiple DOFs robots using motor imagery EEG combined with Huffman coding</t>
  </si>
  <si>
    <t>2021 27TH INTERNATIONAL CONFERENCE ON MECHATRONICS AND MACHINE VISION IN PRACTICE (M2VIP)</t>
  </si>
  <si>
    <t>International Conference on Mechatronics and Machine Vision in Practice</t>
  </si>
  <si>
    <t>motor imagery; EEG signals; Huffman Coding; robotic arm; brain-computer interface</t>
  </si>
  <si>
    <t>GLOBAL BURDEN; DISEASE; CHINA</t>
  </si>
  <si>
    <t>A brain-computer interface (BCI) can help establish a bridge between humans and external devices, like assisting stroke patients with several daily tasks. Motor Imagery (MI) electroencephalogram plays a critical role in BCI applications. To address the problem of lack of control instruction sets for brain-computer interfaces based on motor imagery, this paper proposes the use of a variable-length coding strategy to control the movement of a KUKA robotic arm with multiple degrees of freedom (DOF). The motor imagery EEG signals are classified into four categories by using common spatial pattern (CSP) for feature extraction and support vector machine (SVM) for classification. The classification results of the left-hand and right-hand motor imagery are encoded with binary Huffman Coding, and the codewords are mapped to 7 degrees of freedom of the robotic arm. The number of occurrences of each Huffman codeword is used to control the rotation angle of the corresponding degree of freedom. The classification results of tongue and feet motor imagery are used to enter and exit the selection of the degrees of freedom of the robotic arm, respectively. In the designed object grasping and placing scene, the instruction control using Huffman variable-length coding strategy reduces the time by 19 and 18 times, and the efficiency increases by 23.4% and 20.2%, respectively, compared with the use of binary fixed-length coding. Experimental results demonstrate that the use of Huffman coding enables the control of multiple degrees of freedom of a robotic arm using finite motor imagery classification categories. The method can improve the information transfer efficiency and expand the set of control instructions for brain-computer interfaces, which provides new ideas for the application scenarios of motor imagery-based brain-computer interfaces.</t>
  </si>
  <si>
    <t>[Wei, Xin; Chen, Kun; Liu, Yang; Zhao, Xuefei; Ma, Li; Ai, Qingsong; Liu, Quan] Wuhan Univ Technol, Sch Informat Engn, Wuhan 430070, Peoples R China</t>
  </si>
  <si>
    <t>Wuhan University of Technology</t>
  </si>
  <si>
    <t>Liu, Y (corresponding author), Wuhan Univ Technol, Sch Informat Engn, Wuhan 430070, Peoples R China.</t>
  </si>
  <si>
    <t>yangliu-cs@whut.edu.cn</t>
  </si>
  <si>
    <t>zhao, xuefei/N-5237-2017</t>
  </si>
  <si>
    <t>10.1109/M2VIP49856.2021.9665060</t>
  </si>
  <si>
    <t>Automation &amp; Control Systems; Computer Science; Engineering</t>
  </si>
  <si>
    <t>WOS:000783817900059</t>
  </si>
  <si>
    <t>Wang, L; Zhang, X; Zhang, Y</t>
  </si>
  <si>
    <t>Wang, Li; Zhang, Xiong; Zhang, Yu</t>
  </si>
  <si>
    <t>Extending Motor Imagery by Speech Imagery for Brain-Computer Interface</t>
  </si>
  <si>
    <t>2013 35TH ANNUAL INTERNATIONAL CONFERENCE OF THE IEEE ENGINEERING IN MEDICINE AND BIOLOGY SOCIETY (EMBC)</t>
  </si>
  <si>
    <t>SINGLE-TRIAL EEG; SYNCHRONIZATION; SIGNALS; HAND</t>
  </si>
  <si>
    <t>An electroencephalogram (EEG)-based brain computer interface (BCI) is a novel tool that translates brain intentions into control signals. As the operational dimensions of motor imagery are limited, we describe in this paper an extension of its capability by including speech imagery. Our new system was tested with the help of subjects, whose native language is Chinese. The tests were divided into two steps. The first step was speech imagery; consequently motor imagery and speech imagery were merged in the second step. Feature vectors of EEG signals were extracted from both common spatial patterns (CSP) and cross-correlation functions; then these vectors were classified by a support vector machine (SVM). The distinguishing accuracies of two intentions were found to be between 79.33% and 88.26%. This result shows that the capability of BCI for motor imagery can be extended by combining motor imagery and speech imagery.</t>
  </si>
  <si>
    <t>[Wang, Li; Zhang, Xiong; Zhang, Yu] Southeast Univ, Sch Elect Sci &amp; Engn, Nanjing 210096, Jiangsu, Peoples R China</t>
  </si>
  <si>
    <t>wangly1986@gmail.com</t>
  </si>
  <si>
    <t>Zhang, Ziqi/HHN-7875-2022; Zhang, Yu/J-1796-2015</t>
  </si>
  <si>
    <t>WOS:000341702107110</t>
  </si>
  <si>
    <t>Tyagi, A; Nehra, V</t>
  </si>
  <si>
    <t>Tyagi, Aruna; Nehra, Vijay</t>
  </si>
  <si>
    <t>Time Frequency Analysis of Non-Stationary Motor Imagery EEG Signals</t>
  </si>
  <si>
    <t>2017 INTERNATIONAL CONFERENCE ON COMPUTING AND COMMUNICATION TECHNOLOGIES FOR SMART NATION (IC3TSN)</t>
  </si>
  <si>
    <t>Brain computer interface; EEG. Non-stationarity; DWI; k-NN; ANN</t>
  </si>
  <si>
    <t>BRAIN-COMPUTER INTERFACES; COMMUNICATION; BCI; DEVICE</t>
  </si>
  <si>
    <t>Brain Computer Interface (BCI) offers an effective medium of communication for physically disabled people who are partially or completely locked in their body. It also improves the performance level of healthy people by providing them a new input modality. Recently, BCI systems based on motor imagery electroencephalogram (EEG) signals have been focussed intensively. Extraction and classification of motor imagery features is the most crucial part of motor imagery based BCI system. The biggest challenge in processing motor imagery EEG signals is that these signals are non stationary. In the present investigation, left hand and foot motor imagery tasks have been classified. Time frequency features have been extracted using discrete wavelet transform (DWI) to deal with the non stationarity of motor imagery EEG signals. Linear discriminant analysis (LDA) is used to reduce the dimensionality of data. The efficacy of DWT and LDA has been tested using state vector machine (SVM), k-nearest neighbour (k-NN) and artificial neural network (ANN) classifiers. Overall, combining DWI with LDA and ANN achieved a promising average accuracy of 90% in 4.453 sees. The present study may prove to be helpful in developing intelligent devices to help people in locked-in state for controlling some application by imagination of the movement of their body parts.</t>
  </si>
  <si>
    <t>[Tyagi, Aruna; Nehra, Vijay] Bhagat Phool Singh Mahila Vishwavidyalaya, Dept Elect &amp; Commun Engn, Sonepat, Haryana, India</t>
  </si>
  <si>
    <t>Tyagi, A (corresponding author), Bhagat Phool Singh Mahila Vishwavidyalaya, Dept Elect &amp; Commun Engn, Sonepat, Haryana, India.</t>
  </si>
  <si>
    <t>aruna007_tyagi@yahoo.co.in; nehra_vijay@yahoo.com</t>
  </si>
  <si>
    <t>WOS:000425888700009</t>
  </si>
  <si>
    <t>Khademi, Z; Ebrahimi, F; Kordy, HM</t>
  </si>
  <si>
    <t>Khademi, Zahra; Ebrahimi, Farideh; Kordy, Hussain Montazery</t>
  </si>
  <si>
    <t>A transfer learning-based CNN and LSTM hybrid deep learning model to classify motor imagery EEG signals</t>
  </si>
  <si>
    <t>COMPUTERS IN BIOLOGY AND MEDICINE</t>
  </si>
  <si>
    <t>BCI; MI; Hybrid neural network; Convolutional neural network; LSTM; Transfer learning</t>
  </si>
  <si>
    <t>In the Motor Imagery (MI)-based Brain Computer Interface (BCI), users' intention is converted into a control signal through processing a specific pattern in brain signals reflecting motor characteristics. There are such restrictions as the limited size of the existing datasets and low signal to noise ratio in the classification of MI Electroencephalogram (EEG) signals. Machine learning (ML) methods, particularly Deep Learning (DL), have overcome these limitations relatively. In this study, three hybrid models were proposed to classify the EEG signal in the MI-based BCI. The proposed hybrid models consist of the convolutional neural networks (CNN) and the Long-Short Term Memory (LSTM). In the first model, the CNN with different number of convolutional-pooling blocks (from shallow to deep CNN) was examined; a two-block CNN model not affected by the vanishing gradient descent and yet able to extract desirable features employed; the second and third models contained pre-trained CNNs conducing to the exploration of more complex features. The transfer learning strategy and data augmentation methods were applied to overcome the limited size of the datasets by transferring learning from one model to another. This was achieved by employing two powerful pre-trained convolutional neural networks namely ResNet-50 and Inception-v3. The continuous wavelet transform (CWT) was used to generate images for the CNN. The performance of the proposed models was evaluated on the BCI Competition IV dataset 2a. The mean accuracy vlaues of 86%, 90%, and 92%, and mean Kappa values of 81%, 86%, and 88% were obtained for the hybrid neural network with the customized CNN, the hybrid neural network with ResNet-50 and the hybrid neural network with Inception-v3, respectively. Despite the promising performance of the three proposed models, the hybrid neural network with Inception-v3 outperformed the two other models. The best obtained result in the present study improved the previous best result in the literature by 7% in terms of classification accuracy. From the findings, it can be concluded that transfer learning based on a pre-trained CNN in combi-nation with LSTM is a novel method in MI-based BCI. The study also has implications for the discrimination of motor imagery tasks in each EEG recording channel and in different brain regions which can reduce computa-tional time in future works by only selecting the most effective channels.</t>
  </si>
  <si>
    <t>[Khademi, Zahra; Ebrahimi, Farideh; Kordy, Hussain Montazery] Babol Noshirvani Univ Technol, Fac Elect &amp; Comp Engn, Shariati Ave, Babol, Iran</t>
  </si>
  <si>
    <t>Babol Noshirvani University of Technology</t>
  </si>
  <si>
    <t>Ebrahimi, F (corresponding author), Babol Noshirvani Univ Technol, Fac Elect &amp; Comp Engn, Shariati Ave, Babol, Iran.</t>
  </si>
  <si>
    <t>Zahra.khademi@nit.ac.ir; f.ebrahimi96@nit.ac.ir; hmontazery@nit.ac.ir</t>
  </si>
  <si>
    <t>Montazery kordy, Hussain/AAD-3933-2022; Ebrahimi, Farideh/AAX-8418-2021</t>
  </si>
  <si>
    <t>Khademi, Zahra/0000-0003-1585-9849; Toraby, Mirdavoud/0009-0006-1780-6408</t>
  </si>
  <si>
    <t>10.1016/j.compbiomed.2022.105288</t>
  </si>
  <si>
    <t>FEB 2022</t>
  </si>
  <si>
    <t>Life Sciences &amp; Biomedicine - Other Topics; Computer Science; Engineering; Mathematical &amp; Computational Biology</t>
  </si>
  <si>
    <t>WOS:000790189400003</t>
  </si>
  <si>
    <t>Khan, MJ; Hong, MJY; Hong, KS</t>
  </si>
  <si>
    <t>Khan, M. Jawad; Hong, Melissa Jiyoun; Hong, Keum-Shik</t>
  </si>
  <si>
    <t>Decoding of four movement directions using hybrid NIRS-EEG brain-computer interface</t>
  </si>
  <si>
    <t>electroencephaelography; near-infrared spectroscopy; hybrid brain-computer interface; motor execution; arithmetic mental task; linear discriminant analysis</t>
  </si>
  <si>
    <t>NEAR-INFRARED SPECTROSCOPY; MOTOR IMAGERY; CLASSIFICATION; SIGNAL; WHEELCHAIRS; FNIRS</t>
  </si>
  <si>
    <t>The hybrid brain-computer interface(BCI)'s multimodal technology enables precision brain signal classification that can be used in the formulation of control commands. In the present study, an experimental hybrid near-infrared spectroscopy-electroencephalography(NIRS-EEG) technique was used to extract and decode four different types of brain signals. The NIRS setup was positioned over the prefrontal brain region, and the EEG over the left and right motor cortex regions. Twelve subjects participating in the experiment were shown four direction symbols, namely,forward,  backward,  left, and right. The control commands for forward and backward movement were estimated by performing arithmetic mental tasks related to oxy-hemoglobin(HbO) changes. The left and right directions commands were associated with right and left hand tapping, respectively. The high classification accuracies achieved showed that the four different control signals can be accurately estimated using the hybrid NIR-SEEG technology.</t>
  </si>
  <si>
    <t>[Khan, M. Jawad; Hong, Keum-Shik] Pusan Natl Univ, Dept Cognomechatron Engn, Pusan 609735, South Korea; [Hong, Melissa Jiyoun] Columbia Univ, Dept Educ Policy &amp; Social Anal, New York, NY USA; [Hong, Keum-Shik] Pusan Natl Univ, Sch Mech Engn, Pusan 609735, South Korea</t>
  </si>
  <si>
    <t>Pusan National University; Columbia University; Pusan National University</t>
  </si>
  <si>
    <t>Hong, KS (corresponding author), Pusan Natl Univ, Dept Cognomechatron Engn, 2 Busandaehak Ro, Pusan 609735, South Korea.</t>
  </si>
  <si>
    <t>kshong@pusan.ac.kr</t>
  </si>
  <si>
    <t>Khan, Muhammad Jawad/GQQ-1646-2022</t>
  </si>
  <si>
    <t>APR 28</t>
  </si>
  <si>
    <t>10.3389/fnhum.2014.00244</t>
  </si>
  <si>
    <t>WOS:000335000500001</t>
  </si>
  <si>
    <t>Tang, JS; Yin, EW; Jiang, J; Zhou, ZT; Hu, DW</t>
  </si>
  <si>
    <t>Tang, Jingsheng; Yin, Erwei; Jiang, Jun; Zhou, Zongtan; Hu, Dewen</t>
  </si>
  <si>
    <t>Balancing an Inverted Pendulum with an EEG-based BCI</t>
  </si>
  <si>
    <t>2013 SIXTH INTERNATIONAL SYMPOSIUM ON COMPUTATIONAL INTELLIGENCE AND DESIGN (ISCID), VOL 1</t>
  </si>
  <si>
    <t>brain computer interface (BCI); inverted pendulum on a cart (IPC); Electroencephalogram (EEG); Sensorimotor rhythms (SMRs); Motor imagery (MI)</t>
  </si>
  <si>
    <t>To research the brain computer interface (BCI) for dynamic objects control, in this study, we constructed a BCI paradigm for balancing a virtual inverted pendulum on a cart (IPC). In the paradigm, subjects balanced the pendulum by imaging left/right movements. Not only was the direction, but also the strength of motor imagery was estimated simultaneously from the EEG signals, to generate suitable control force for IPC. Additionally, to solve the inconsistent problem between offline training and online controlling, a special online training experiment was designed to obtain more robust parameters of BCI. Three graduate subjects participated in this study, and two of them fast grasped the skill of IPC balancing, achieved balancing time of about 20 seconds. The results showed that the paradigm in this study was feasible and efficient for dynamic objects control.</t>
  </si>
  <si>
    <t>[Tang, Jingsheng; Yin, Erwei; Jiang, Jun; Zhou, Zongtan; Hu, Dewen] Natl Univ Def Technol, Coll Mechatron Engn &amp; Automat, Changsha, Hunan, Peoples R China</t>
  </si>
  <si>
    <t>National University of Defense Technology - China</t>
  </si>
  <si>
    <t>Tang, JS (corresponding author), Natl Univ Def Technol, Coll Mechatron Engn &amp; Automat, Changsha, Hunan, Peoples R China.</t>
  </si>
  <si>
    <t>science_mrtang@sina.cn; yinerwei1985@163.com; jiangjun@nudt.edu.cn; narcz@163.com; dwhu@nudt.edu.cn</t>
  </si>
  <si>
    <t>jiang, jiang/GRX-1861-2022; Yin, Erwei/E-5910-2013</t>
  </si>
  <si>
    <t>10.1109/ISCID.2013.93</t>
  </si>
  <si>
    <t>WOS:000355314400081</t>
  </si>
  <si>
    <t>Hu, LY; Xie, JJ; Pan, CH; Wu, XL; Hu, DX</t>
  </si>
  <si>
    <t>Hu, Lingyan; Xie, Jingjing; Pan, Changhui; Wu, Xiaolong; Hu, Dongxia</t>
  </si>
  <si>
    <t>Multi-feature fusion method based on WOSF and MSE for four-class MI EEG identification</t>
  </si>
  <si>
    <t>Brain Computer Interface; Multiclass EEG; Feature fusion; Common Spatial Pattern; Local Mean Decomposition</t>
  </si>
  <si>
    <t>APPROXIMATE ENTROPY; DECOMPOSITION</t>
  </si>
  <si>
    <t>Background: Brain-Computer Interface (BCI) can bring great convenience to patients in the process of rehabili-tation training and prosthetic control. However, how to extract effective features is a core issue in a BCI system. Methods: We proposes the Multi-Feature Fusion Method based on Wavelength Optimal Spatial Filter and Mul-tiscale Entropy for classifying the electroencephalogram signals (EEG) in four kinds of motor imagery tasks. The method can combine Wavelength features with Multiscale Entropy. Results: Two groups of experiments were conducted. One for simple four types of motor imagery (MI) tasks and another for unilateral limb. Experiments show that our proposed method has better performance compared to other methods. (82.55% versus 73.08% average accuracy respectively). Conclusions: The proposed method can effectively improve the accuracy of EEG classification in multiclass motor imagery and will be useful for neurorehabilitation through motor imagery for hemiplegic patients.</t>
  </si>
  <si>
    <t>[Hu, Lingyan; Pan, Changhui; Wu, Xiaolong] Nanchang Univ, Sch Informat &amp; Engn, Nanchang 330031, Jiangxi, Peoples R China; [Hu, Lingyan; Hu, Dongxia] Nanchang Univ, Affiliated Hosp 2, Nanchang 330031, Jiangxi, Peoples R China; [Xie, Jingjing] Nanchang Univ, Ji Luan Acad, Nanchang 330031, Jiangxi, Peoples R China</t>
  </si>
  <si>
    <t>Nanchang University; Nanchang University; Nanchang University</t>
  </si>
  <si>
    <t>Wu, XL (corresponding author), Nanchang Univ, Sch Informat &amp; Engn, Nanchang 330031, Jiangxi, Peoples R China.</t>
  </si>
  <si>
    <t>wxl6895209@gmail.com</t>
  </si>
  <si>
    <t>; Xie, Jingjing/T-1664-2019</t>
  </si>
  <si>
    <t>Hu, Lingyan/0000-0002-9128-4277; Wu, Xiao-long/0000-0001-9981-1169</t>
  </si>
  <si>
    <t>10.1016/j.bspc.2021.102907</t>
  </si>
  <si>
    <t>JUL 2021</t>
  </si>
  <si>
    <t>WOS:000685503100003</t>
  </si>
  <si>
    <t>Mzurikwao, D; Samuel, OW; Asogbon, MG; Li, XX; Li, G; Yeo, WH; Efstratiou, C; Ang, CS</t>
  </si>
  <si>
    <t>Mzurikwao, Deogratias; Samuel, Oluwarotimi Williams; Asogbon, Mojisola Grace; Li, Xiangxin; Li, Guanglin; Yeo, Woon-Hong; Efstratiou, Christos; Ang, Chee Siang</t>
  </si>
  <si>
    <t>A Channel Selection Approach Based on Convolutional Neural Network for Multi-Channel EEG Motor Imagery Decoding</t>
  </si>
  <si>
    <t>2019 IEEE SECOND INTERNATIONAL CONFERENCE ON ARTIFICIAL INTELLIGENCE AND KNOWLEDGE ENGINEERING (AIKE)</t>
  </si>
  <si>
    <t>BCI; CNN; EEG; Feature maps; Motor imagery; Topographic maps</t>
  </si>
  <si>
    <t>BCI</t>
  </si>
  <si>
    <t>For many disabled people, brain computer interface ( BCI) may be the only way to communicate with others and to control things around them. Using motor imagery paradigm, one can decode an individual's intention by using their brainwaves to help them interact with their environment without having to make any physical movement. For decades, machine learning models, trained on features extracted from acquired electroencephalogram (EEG) signals have been used to decode motor imagery activities. This method has several limitations and constraints especially during feature extraction. Large number of channels on the current EEG devices make them hard to use in real-life as they are bulky, uncomfortable to wear, and takes lot of time in preparation. In this paper, we introduce a technique to perform channel selection using convolutional neural network (CNN) and to decode multiple classes of motor imagery intentions from four participants who are amputees. A CNN model trained on EEG data of 64 channels achieved a mean classification accuracy of 99.7% with five classes. Channel selection based on weights extracted from the trained model has been performed with subsequent models trained on eight selected channels achieved a reasonable accuracy of 91.5%. Training the model in time domain and frequency domain was also compared, different window sizes were experimented to test the possibilities of realtime application. Our method of channel selection was then evaluated on a publicly available motor imagery EEG dataset.</t>
  </si>
  <si>
    <t>[Mzurikwao, Deogratias; Efstratiou, Christos; Ang, Chee Siang] Univ Kent, Sch Engn &amp; Digital Arts, Canterbury, Kent, England; [Samuel, Oluwarotimi Williams; Asogbon, Mojisola Grace; Li, Xiangxin; Li, Guanglin] Chinese Acad Sci, Shenzhen Inst Adv Technol, Shenzhen, Guangdong, Peoples R China; [Yeo, Woon-Hong] Georgia Inst Adv Technol, Inst Elect &amp; Nano Flexible Hybrid Elect, Atlanta, GA USA</t>
  </si>
  <si>
    <t>University of Kent; Chinese Academy of Sciences; Shenzhen Institute of Advanced Technology, CAS</t>
  </si>
  <si>
    <t>Mzurikwao, D (corresponding author), Univ Kent, Sch Engn &amp; Digital Arts, Canterbury, Kent, England.</t>
  </si>
  <si>
    <t>dm521@kent.ac.uk; samuel@siat.ac.cn; grace@siat.ac.cn; lixx@siat.ac.cn; gl.li@siat.ac.cn; whyeo@gatech.edu; c.efstratiou@kent.ac.uk; c.s.ang@kent.ac.uk</t>
  </si>
  <si>
    <t>li, xiangxin/NQF-2927-2025; MZURIKWO, DEOGRATIAS/AAP-2837-2020; Samuel, Oluwarotimi/AAE-6996-2020; Yeo, Woon-Hong/G-6430-2011</t>
  </si>
  <si>
    <t>Ang, Chee Siang/0000-0002-1109-9689; MZURIKWAO, DEOGRATIAS/0000-0003-3405-4771; Li, Guanglin/0000-0001-9016-2617</t>
  </si>
  <si>
    <t>10.1109/AIKE.2019.00042</t>
  </si>
  <si>
    <t>WOS:000502534100034</t>
  </si>
  <si>
    <t>Belwafi, K; Djemal, R; Ghaffari, F; Romain, O</t>
  </si>
  <si>
    <t>Belwafi, Kais; Djemal, Ridha; Ghaffari, Fakhreddine; Romain, Olivier</t>
  </si>
  <si>
    <t>An Adaptive EEG filtering approach to maximize the classification accuracy in motor imagery</t>
  </si>
  <si>
    <t>2014 IEEE SYMPOSIUM ON COMPUTATIONAL INTELLIGENCE, COGNITIVE ALGORITHMS, MIND, AND BRAIN (CCMB)</t>
  </si>
  <si>
    <t>brain computer interface (BCI); ElectroEncephaloGram (EEG); EEG filters optimization; Motor imagery</t>
  </si>
  <si>
    <t>We propose in this paper a novel approach of adaptive filtering of EEG signals. The filter adapts to the intrinsic characteristics of each person. The goal of the proposed method is to enhance the accuracy of the home devices system controlled by the thoughts related to two motor imagery actions. mu-rhythm and beta-rhythm are the specific returned bands that contain the information. The main idea of the proposed method is to preserve the frequency bands of interest with a different value of the SNR on the stop-band. Our experimental results show the benefits of a suitable tuning of the filter on the accuracy of the classifier on the output of the EEG system. The proposed approach outperforms significantly performances reported in the literature and the effectively enhancement of the classification accuracy can reach up to 40% based only on filtering tuning.</t>
  </si>
  <si>
    <t>[Belwafi, Kais] ENISo Sousse, Dept Elect Engn, BP 264, Erriadh 4023, Tunisia; [Djemal, Ridha] King Saud Univ, Riyadh 11421, Saudi Arabia; [Belwafi, Kais; Ghaffari, Fakhreddine; Romain, Olivier] Univ Cergy Pontoise, ENSEA, ETIS Lab, CNRS,UMR8051, F-95014 Cergy Pontoise, France</t>
  </si>
  <si>
    <t>Belwafi, K (corresponding author), ENISo Sousse, Dept Elect Engn, BP 264, Erriadh 4023, Tunisia.</t>
  </si>
  <si>
    <t>kais.belwafi@ensea.fr; rdjemal@ksu.edu.sa; fakhreddine.ghaffari@ensea.fr; Olivier.Romain@ensea.fr</t>
  </si>
  <si>
    <t>; ghaffari, fakhreddine/AAG-7581-2020; romain, olivier/AAF-1985-2019; Belwafi, Kais/AAG-9618-2019</t>
  </si>
  <si>
    <t>WOS:000380501000018</t>
  </si>
  <si>
    <t>Ding, SL; Zhang, HM; Li, J; Li, CG; Sun, LN</t>
  </si>
  <si>
    <t>Ding, Shilai; Zhang, Hongmiao; Li, Juan; Li, Chunguang; Sun, Lining</t>
  </si>
  <si>
    <t>Study of A Brain-Controlled Switch during Motor Imagery</t>
  </si>
  <si>
    <t>2018 3RD IEEE INTERNATIONAL CONFERENCE ON ADVANCED ROBOTICS AND MECHATRONICS (IEEE ICARM)</t>
  </si>
  <si>
    <t>Motor imagery (MI); electroencephalogram (EEG); switch</t>
  </si>
  <si>
    <t>COMPUTER INTERFACE TECHNOLOGY</t>
  </si>
  <si>
    <t>Most brain-computer interface (BCI) systems use the synchronization paradigm to detect specific brain activities to control external devices. However, for further asynchronous control application it is necessary to provide users with a switch for the system on and off based on spontaneous brain activities. EEG data during motor imagery of right hand movement were collected by 64 electrodes from 4 healthy subjects. After preprocessing the feature related with motion were extracted by common spacial pattern and then by a linear discriminant classifier, the recognition rate of system on/off was about 90% for the offline analysis. Additionally by the maximum redundancy minimum correlation analysis, the most relevant channel was obtained. En the future, the brain-controlled switch may play an important role in brain-computer interface capacities in practical applications.</t>
  </si>
  <si>
    <t>[Ding, Shilai] Sch Mech &amp; Elect Engn, Suzhou, Jiangsu, Peoples R China; [Zhang, Hongmiao; Li, Juan; Li, Chunguang; Sun, Lining] Soochow Univ, Jiangsu Prov Key Lab Adv Robot, Suzhou, Peoples R China; [Zhang, Hongmiao; Li, Juan; Li, Chunguang; Sun, Lining] Soochow Univ, Collaborat Innovat Ctr Suzhou Nano Sci &amp; Technol, Suzhou, Peoples R China</t>
  </si>
  <si>
    <t>Soochow University - China; Soochow University - China</t>
  </si>
  <si>
    <t>Zhang, HM (corresponding author), Soochow Univ, Jiangsu Prov Key Lab Adv Robot, Suzhou, Peoples R China.;Zhang, HM (corresponding author), Soochow Univ, Collaborat Innovat Ctr Suzhou Nano Sci &amp; Technol, Suzhou, Peoples R China.</t>
  </si>
  <si>
    <t>Zhanghongmiao@suda.edu.cn</t>
  </si>
  <si>
    <t>WOS:000458327200027</t>
  </si>
  <si>
    <t>Murtaza, H; Ahmed, M; Murtaza, G; Zafar, SN; Nazir, T</t>
  </si>
  <si>
    <t>Murtaza, Hajra; Ahmed, Musharif; Murtaza, Ghulam; Zafar, Saad Naeem; Nazir, Tahira</t>
  </si>
  <si>
    <t>A novelty towards neural signatures-Unveiling the inter-subject distance metric for EEG-based motor imagery</t>
  </si>
  <si>
    <t>Electroencephalography; Motor imagery; Inter-subject associativity; EEG channel correlations; Inter-subject distances; Motor imagery decoding; Cross-subject motor imagery classification</t>
  </si>
  <si>
    <t>BRAIN-COMPUTER INTERFACES; CLASSIFICATION</t>
  </si>
  <si>
    <t>Brain-Computer Interface (BCI) holds significant promise for enhancing various aspects of human life, spanning medical rehabilitation, social interaction, entertainment, education, and command and control systems. Electroencephalography (EEG) emerges as a predominant modality for BCI development, with Motor Imagery (MI) paradigms garnering particular attention due to their broad applications, notably in post-stroke rehabilitation. However, leveraging EEG signals for accurate decoding poses formidable challenges, attributed to their inherent non-stationarity and low spatial resolution, resulting in intra and inter-subject variability. Cross-subject classification, a critical component of BCI systems, necessitates model calibration with data from new subjects, which proves impractical, particularly in medical contexts. To address these challenges, numerous Transfer Learning (TL) techniques have been explored. Nevertheless, achieving robust performance in real-life scenarios remains elusive. In response, this research proposes a novel framework aimed at quantifying inter-subject distances based on fundamental EEG signal attributes. We propose distance metrics based on channel correlational structure to measure distances between EEG segments, sessions, and subjects, thereby enabling the identification of subjects, with similar neural patterns, for efficient TL or data augmentation. The proposed framework represents a significant step towards overcoming the limitations of current EEG-based BCI systems, paving the way for more effective and practical applications in real-world settings.</t>
  </si>
  <si>
    <t>[Murtaza, Hajra; Ahmed, Musharif; Murtaza, Ghulam; Zafar, Saad Naeem; Nazir, Tahira] Riphah Int Univ, Fac Comp, Islamabad, Pakistan</t>
  </si>
  <si>
    <t>Murtaza, H (corresponding author), Riphah Int Univ, Fac Comp, Islamabad, Pakistan.</t>
  </si>
  <si>
    <t>hajra.murtaza@riphah.edu.pk; musharraf.ahmed@riphah.edu.pk; mjmurtazakiani@gmail.com; saad.zafar@riphah.edu.pk; tahira.nazir@riphah.edu.pk</t>
  </si>
  <si>
    <t>Nazir, Tahira/OGP-2094-2025; Murtaza, Hajra/MGV-6511-2025</t>
  </si>
  <si>
    <t>10.1016/j.bspc.2025.107552</t>
  </si>
  <si>
    <t>WOS:001424135600001</t>
  </si>
  <si>
    <t>Penaloza, CI; Alimardani, M; Nishio, S</t>
  </si>
  <si>
    <t>Penaloza, Christian I.; Alimardani, Maryam; Nishio, Shuichi</t>
  </si>
  <si>
    <t>Android Feedback-Based Training Modulates Sensorimotor Rhythms During Motor Imagery</t>
  </si>
  <si>
    <t>Brain-computer interface; android; motor imagery</t>
  </si>
  <si>
    <t>BRAIN-COMPUTER INTERFACE; EEG; COMMUNICATION</t>
  </si>
  <si>
    <t>EEG-based brain computer interface (BCI) systems have demonstrated potential to assist patients with devastating motor paralysis conditions. However, there is great interest in shifting the BCI trend toward applications aimed at healthy users. Although BCI operation depends on technological factors (i.e., EEG pattern classification algorithm) and human factors (i.e., how well the person can generate good quality EEG patterns), it is the latter that is least investigated. In order to control a motor imagery-based BCI, users need to learn to modulate their sensorimotor brain rhythms by practicing motor imagery using a classical training protocol with an abstract visual feedback. In this paper, we investigate a different BCI training protocol using a human-like android robot (Geminoid HI-2) to provide realistic visual feedback. The proposed training protocol addresses deficiencies of the classical approach and takes the advantage of body-abled user capabilities. Experimental results suggest that android feedback-based BCI training improves the modulation of sensorimotor rhythms during motor imagery task. Moreover, we discuss how the influence of body ownership transfer illusion toward the android might have an effect on the modulation of event-related desyn-chronization/synchronization activity.</t>
  </si>
  <si>
    <t>[Penaloza, Christian I.; Nishio, Shuichi] Adv Telecommun Res Inst Int, Kyoto 6190288, Japan; [Alimardani, Maryam] Univ Tokyo, Grad Sch Arts &amp; Sci, Dept Gen Syst Studies, Tokyo 1138654, Japan</t>
  </si>
  <si>
    <t>Advanced Telecommunications Research Institute International; University of Tokyo</t>
  </si>
  <si>
    <t>Penaloza, CI (corresponding author), Adv Telecommun Res Inst Int, Kyoto 6190288, Japan.</t>
  </si>
  <si>
    <t>penaloza@atr.jp</t>
  </si>
  <si>
    <t>Alimardani, Maryam/0000-0003-3077-7657</t>
  </si>
  <si>
    <t>10.1109/TNSRE.2018.2792481</t>
  </si>
  <si>
    <t>WOS:000427225600014</t>
  </si>
  <si>
    <t>Iwama, S; Morishige, M; Kodama, M; Takahashi, Y; Hirose, R; Ushiba, J</t>
  </si>
  <si>
    <t>Iwama, Seitaro; Morishige, Masumi; Kodama, Midori; Takahashi, Yoshikazu; Hirose, Ryotaro; Ushiba, Junichi</t>
  </si>
  <si>
    <t>High-density scalp electroencephalogram dataset during sensorimotor rhythm-based brain-computer interfacing</t>
  </si>
  <si>
    <t>SCIENTIFIC DATA</t>
  </si>
  <si>
    <t>Article; Data Paper</t>
  </si>
  <si>
    <t>MACHINE INTERFACES; MOTOR; STROKE; DESYNCHRONIZATION; SYNCHRONIZATION; REHABILITATION; STIMULATION; MOVEMENT; FEEDBACK</t>
  </si>
  <si>
    <t>Real-time functional imaging of human neural activity and its closed-loop feedback enable voluntary control of targeted brain regions. In particular, a brain-computer interface (BCI), a direct bridge of neural activities and machine actuation is one promising clinical application of neurofeedback. Although a variety of studies reported successful self-regulation of motor cortical activities probed by scalp electroencephalogram (EEG), it remains unclear how neurophysiological, experimental conditions or BCI designs influence variability in BCI learning. Here, we provide the EEG data during using BCIs based on sensorimotor rhythm (SMR), consisting of 4 separate datasets. All EEG data were acquired with a high-density scalp EEG setup containing 128 channels covering the whole head. All participants were instructed to perform motor imagery of right-hand movement as the strategy to control BCIs based on the task-related power attenuation of SMR magnitude, that is event-related desynchronization. This dataset would allow researchers to explore the potential source of variability in BCI learning efficiency and facilitate follow-up studies to test the explicit hypotheses explored by the dataset.</t>
  </si>
  <si>
    <t>[Iwama, Seitaro; Ushiba, Junichi] Keio Univ, Fac Sci &amp; Technol, Dept Biosci &amp; Informat, Tokyo, Kanagawa, Japan; [Morishige, Masumi; Kodama, Midori; Takahashi, Yoshikazu; Hirose, Ryotaro] Keio Univ, Grad Sch Sci &amp; Technol, Tokyo, Kanagawa, Japan</t>
  </si>
  <si>
    <t>Keio University; Keio University</t>
  </si>
  <si>
    <t>Ushiba, J (corresponding author), Keio Univ, Fac Sci &amp; Technol, Dept Biosci &amp; Informat, Tokyo, Kanagawa, Japan.</t>
  </si>
  <si>
    <t>; Iwama, Seitaro/HLW-3547-2023; Ushiba, Junichi/C-8890-2014</t>
  </si>
  <si>
    <t>Morishige, Masumi/0000-0001-6318-8432; Iwama, Seitaro/0000-0002-3485-7438;</t>
  </si>
  <si>
    <t>JUN 15</t>
  </si>
  <si>
    <t>10.1038/s41597-023-02260-6</t>
  </si>
  <si>
    <t>WOS:001008524700002</t>
  </si>
  <si>
    <t>Yamaguchi, T; Fujio, M; Inoue, K</t>
  </si>
  <si>
    <t>Yamaguchi, Tomonari; Fujio, Mitsuhiko; Inoue, Katsuhiro</t>
  </si>
  <si>
    <t>DESIGN METHOD OF MORPHOLOGICAL STRUCTURING FUNCTION FOR PATTERN RECOGNITION OF EEG SIGNALS DURING MOTOR IMAGERY AND COGNITION</t>
  </si>
  <si>
    <t>INTERNATIONAL JOURNAL OF INNOVATIVE COMPUTING INFORMATION AND CONTROL</t>
  </si>
  <si>
    <t>Mathematical morphology; Multiresolution analysis; Filter design; EEG; BCI; Error potential</t>
  </si>
  <si>
    <t>It is known that Electroencephalograph (EEG) signal shows specific responses according to the event (e.g., visual stimulus, cognition and motor imagery). Especially, by classifying short time EEG signal, features are used to control an electronic device (such a system is called brain computer interface: BCI). Generally, in feature extraction from EEG signal, these features are extracted by using linear method such as FIR filter and wavelet transform. Though, linear method is not suitable because impulse noise distorts the important features. To avoid this, the morphological analysis method with non-linear characteristics has been used in this field. In this paper, we propose a design method of structuring function that determines the filter characteristic of morphology. The morphological method is compared with discrete wavelet transform (DWT) method from the view point of filter characteristics. We apply our method to real data observed from motor imagery and cognition simultaneously.</t>
  </si>
  <si>
    <t>[Yamaguchi, Tomonari; Fujio, Mitsuhiko; Inoue, Katsuhiro] Kyushu Inst Technol, Dept Syst Design &amp; Informat, Fukuoka 8208502, Japan</t>
  </si>
  <si>
    <t>Kyushu Institute of Technology</t>
  </si>
  <si>
    <t>Yamaguchi, T (corresponding author), Kyushu Inst Technol, Dept Syst Design &amp; Informat, 680-4 Kawazu, Fukuoka 8208502, Japan.</t>
  </si>
  <si>
    <t>t_yamagu@kiri.ces.kyutech.ac.jp; fujio@ces.kyutech.ac.jp; inoue@ces.kyutech.ac.jp</t>
  </si>
  <si>
    <t>WOS:000293817400032</t>
  </si>
  <si>
    <t>Iftikhar, M; Khan, SA; Hassan, A</t>
  </si>
  <si>
    <t>Chakrabarti, S; Saha, HN</t>
  </si>
  <si>
    <t>Iftikhar, Memoona; Khan, Shoab Ahmad; Hassan, Ali</t>
  </si>
  <si>
    <t>A Survey of Deep Learning and Traditional Approaches for EEG Signal Processing and Classification</t>
  </si>
  <si>
    <t>2018 IEEE 9TH ANNUAL INFORMATION TECHNOLOGY, ELECTRONICS AND MOBILE COMMUNICATION CONFERENCE (IEMCON)</t>
  </si>
  <si>
    <t>Brain Computer Interface (BCI); Electroencephalogram (EEG); Signal Classification; Convolutional Neural Network (CNN)</t>
  </si>
  <si>
    <t>Processing of Electroencephalography (EEG) signals help to detect the specific patterns in a person's ongoing brain activity and then translate these patterns into control command. Brain Computer Interfacing (BCI) is a communication system which uses these commands to interact with outside world. BCI's have extensive applications such as to classify motor imagery tasks, and to detect abnormalities and loss of functions of brain. Selection and optimization of the efficient processing technique to extract discriminative features from the EEG signals is a key to develop high performance and robust system. The main purpose of the feature selection and reduction process is threefold: by extracting relevant features computational complexity can be reduced, it improve performance by avoiding over fitting which may be caused due to irrelevant features, selected features will take less time to process. Some novel methods such as time-domain analysis, power spectral estimation, and wavelet transform have been widely used for the evaluation of the selected subset of features. In this paper first, we survey comparative evaluation of various recent techniques for feature selection and classification applied for BCI at each stage. Second, the use of deep learning techniques for brain signal classification is explored.</t>
  </si>
  <si>
    <t>[Iftikhar, Memoona; Khan, Shoab Ahmad; Hassan, Ali] Natl Univ Sci &amp; Technol, Dept Comp &amp; Software Engn, Islamabad, Pakistan</t>
  </si>
  <si>
    <t>Iftikhar, M (corresponding author), Natl Univ Sci &amp; Technol, Dept Comp &amp; Software Engn, Islamabad, Pakistan.</t>
  </si>
  <si>
    <t>memoonaiftikhar760@yahoo.com; shoabak@ceme.nust.edu.pk; alihassan@ce.ceme.edu.pk</t>
  </si>
  <si>
    <t>Hassan, Ali/JJE-1858-2023</t>
  </si>
  <si>
    <t>WOS:000461314200065</t>
  </si>
  <si>
    <t>Liu, D; Chen, WH; Lee, K; Pei, ZC; Millán, JD</t>
  </si>
  <si>
    <t>Liu, Dong; Chen, Weihai; Lee, Kyuhwa; Pei, Zhongcai; Millan, Jose del R.</t>
  </si>
  <si>
    <t>An EEG-based brain-computer interface for gait training</t>
  </si>
  <si>
    <t>2017 29TH CHINESE CONTROL AND DECISION CONFERENCE (CCDC)</t>
  </si>
  <si>
    <t>Chinese Control and Decision Conference</t>
  </si>
  <si>
    <t>Brain-computer Interface (BCI); electroencephalography (EEG); motor imagery (MI); gait training</t>
  </si>
  <si>
    <t>This work presents an electroencephalography (EEG)-based Brain-computer Interface (BCI) that decodes cerebral activities to control a lower-limb gait training exoskeleton. Motor imagery (MI) of flexion and extension of both legs was distinguished from the EEG correlates. We executed experiments with 5 able-bodied individuals under a realistic rehabilitation scenario. The Power Spectral Density (PSD) of the signals was extracted with sliding windows to train a linear discriminate analysis (LDA) classifier. An average classification accuracy of 0.67 +/- 0.07 and AUC of 0.77 +/- 0.06 were obtained in online recordings, which confirmed the feasibility of decoding these signals to control the gait trainer. In addition, discriminative feature analysis was conducted to show the modulations during the mental tasks. This study can be further implemented with different feedback modalities to enhance the user performance.</t>
  </si>
  <si>
    <t>[Liu, Dong; Chen, Weihai; Pei, Zhongcai] Beihang Univ BUAA, Sch Automat Sci &amp; Elect Engn, Beijing 100191, Peoples R China; [Liu, Dong; Lee, Kyuhwa; Millan, Jose del R.] Ecole Polytech Fed Lausanne, Defitech Chair Brain Machine Interface CNBI, Campus Biotech H4, CH-1202 Geneva, Switzerland</t>
  </si>
  <si>
    <t>Beihang University; Swiss Federal Institutes of Technology Domain; Ecole Polytechnique Federale de Lausanne</t>
  </si>
  <si>
    <t>Liu, D (corresponding author), Beihang Univ BUAA, Sch Automat Sci &amp; Elect Engn, Beijing 100191, Peoples R China.;Liu, D (corresponding author), Ecole Polytech Fed Lausanne, Defitech Chair Brain Machine Interface CNBI, Campus Biotech H4, CH-1202 Geneva, Switzerland.</t>
  </si>
  <si>
    <t>beihangld@buaa.edu.cn; jose.millan@epfl.ch</t>
  </si>
  <si>
    <t>Chen, Wei-Hai/AAU-3487-2020; Millan, Jose del R./F-1696-2011; Lee, Kyuhwa/KOD-7226-2024</t>
  </si>
  <si>
    <t>Millan, Jose del R./0000-0001-5819-1522; /0009-0006-1337-808X; Lee, Kyuhwa/0000-0002-3854-4690</t>
  </si>
  <si>
    <t>WOS:000427082202020</t>
  </si>
  <si>
    <t>Putranto, YT; Hariadi, M; Sardjono, TA; Purnomo, MH</t>
  </si>
  <si>
    <t>Putranto, Yulianto Tejo; Hariadi, Mohammad; Sardjono, Tri Arief; Purnomo, Mauridhi Hery</t>
  </si>
  <si>
    <t>Enhancement of EEG Signals Classification for Imaginary Movement by Detailing Discriminant Parameters</t>
  </si>
  <si>
    <t>PROCEEDINGS OF THE 2016 IEEE REGION 10 CONFERENCE (TENCON)</t>
  </si>
  <si>
    <t>Brain-computer interface; EEG signals; k-Nearest Neighbor; LDA; SVM</t>
  </si>
  <si>
    <t>Brain-computer interface (BCI) technology has to make the possibility for individuals with motor disabilities to control over their environment. EEG signals related to an imagination of movement were used as control signals. In this paper, EEG signals from the 2-class motor imagery data have been calculated for feature extraction and classified. The power of EEG signals, mean of absolute wavelet coefficients, the average power of the wavelet coefficients and standard deviation of the coefficients were used as feature extraction. We used many distance parameters for k-Nearest Neighbor (k-NN) classifier and many kernel functions for Support Vector Machine (SVM) classifier to obtain the best or fit parameter for each method. The linear and quadratic discriminators of Linear Discriminant Analysis (LDA) were implemented. As a result of the simulation, the best value of test accuracy for each method, k-NN, LDA and SVM were 74.87%, 100% and 77.18%, respectively.</t>
  </si>
  <si>
    <t>[Putranto, Yulianto Tejo; Hariadi, Mohammad; Sardjono, Tri Arief; Purnomo, Mauridhi Hery] Inst Teknol Sepuluh Nopember, Dept Elect Engn, Surabaya, Indonesia; [Putranto, Yulianto Tejo] Soegijapranata Catholic Univ, Dept Informat Syst, Semarang, Indonesia</t>
  </si>
  <si>
    <t>Institut Teknologi Sepuluh Nopember; Soegijapranata Catholic University</t>
  </si>
  <si>
    <t>Putranto, YT (corresponding author), Inst Teknol Sepuluh Nopember, Dept Elect Engn, Surabaya, Indonesia.;Putranto, YT (corresponding author), Soegijapranata Catholic Univ, Dept Informat Syst, Semarang, Indonesia.</t>
  </si>
  <si>
    <t>yulianto15@mhs.ee.its.ac.id; mochar@elect-eng.its.ac.id; sardjono@bme.its.ac.id; hery@ee.its.ac.id</t>
  </si>
  <si>
    <t>Sardjono, Tri/AAI-8556-2021; hariadi, mochamad/CCF-6468-2022; Purnomo, Mauridhi/M-1043-2019</t>
  </si>
  <si>
    <t>WOS:000400378900011</t>
  </si>
  <si>
    <t>Upadhyay, R; Kankar, PK; Padhy, PK; Gupta, VK</t>
  </si>
  <si>
    <t>Upadhyay, Rahul; Kankar, Pavan Kumar; Padhy, Prabin Kumar; Gupta, Vijay Kumar</t>
  </si>
  <si>
    <t>Feature extraction and classification of imagined motor movement electroencephalogram signals</t>
  </si>
  <si>
    <t>INTERNATIONAL JOURNAL OF BIOMEDICAL ENGINEERING AND TECHNOLOGY</t>
  </si>
  <si>
    <t>BCI; brain-computer interface; Butterworth filter; EEG; electroencephalogram; MSPCA; multiscale principal component analysis; PSD; power spectral density; SVM; support vector machine.</t>
  </si>
  <si>
    <t>Brain-Computer Interface (BCI) establishes a communication channel between brain and external world. BCI can control numerous applications, such as controlling a cursor on computer screen, movement of a robotic arm or a wheel chair and many more. The efficiency and accuracy of BCI systems completely relies on efficient preprocessing and classification algorithms. In present work, the reliability of a BCI has been analysed, which is implemented using Electroencephalogram (EEG) signals, recorded from motor imagery, for imagination of three different mental tasks: left fist blink, right fist blink and both fists blink. The recorded EEG signals were primarily filtered out by a low pass Butterworth filter and further preprocessed using multiscale principal component analysis. Statistical parameters have been calculated from preprocessed EEG signals as features. For classification of the EEG signals, support vector machine model is employed.</t>
  </si>
  <si>
    <t>[Upadhyay, Rahul; Kankar, Pavan Kumar; Padhy, Prabin Kumar; Gupta, Vijay Kumar] PDPM Indian Inst Informat Technol, Design &amp; Mfg, Jabalpur 482005, Madhya Pradesh, India</t>
  </si>
  <si>
    <t>Indian Institute of Information Technology Design &amp; Manufacturing, Jabalpur</t>
  </si>
  <si>
    <t>Upadhyay, R (corresponding author), PDPM Indian Inst Informat Technol, Design &amp; Mfg, Jabalpur 482005, Madhya Pradesh, India.</t>
  </si>
  <si>
    <t>rahul.up03@gmail.com; kankar@iiitdmj.ac.in; prabin16@iiitdmj.ac.in; vkgupta@iiitdmj.ac.in</t>
  </si>
  <si>
    <t>Gupta, Vijay Kumar/Q-2595-2016; Kankar, Pavan Kumar/P-8497-2015; Padhy, Prabin/ABD-4077-2020; Kankar, Pavan/P-8497-2015</t>
  </si>
  <si>
    <t>Kankar, Pavan Kumar/0000-0001-6597-949X; Gupta, Vijay Kumar/0000-0002-2337-7076</t>
  </si>
  <si>
    <t>10.1504/IJBET.2013.057926</t>
  </si>
  <si>
    <t>WOS:000214265100003</t>
  </si>
  <si>
    <t>Öztürk, N; Yilmaz, B</t>
  </si>
  <si>
    <t>Ozturk, Nedime; Yilmaz, Bulent</t>
  </si>
  <si>
    <t>Discrimination of Rest, Motor Imagery and Movement for Brain-Computer Interface Applications</t>
  </si>
  <si>
    <t>2018 MEDICAL TECHNOLOGIES NATIONAL CONGRESS (TIPTEKNO)</t>
  </si>
  <si>
    <t>Brain Computer Interface; EEG; motor imagery; first-order statistics features; EEG signal processing</t>
  </si>
  <si>
    <t>Brain-computer interface (BCI) is a system that provides a means to control prosthesis, wheelchair, or similar devices using brain waves without direct motor nervous system involvement. For this purpose, brain waves obtained from multiple electrodes placed on the scalp (EEG, Electroencephalogram) are used. Emotiv Epoc used to obtain EEG signals is a low-cost device and has real-time applications.. The aim of this study is the detection of rest, imagination and real movement using EEG signals obtained by Emotiv Epoc headset. As a result, As a result, the data obtained from 39 trials from a female subject were classified resting, motion imagination and movement, according to 97.4% accuracy by using the statistical features of distortion, logarithm energy entropy, energy, Shannon entropy and kurtosis.In this study, it has been shown that this system can be remarkably successful for BCI applications.</t>
  </si>
  <si>
    <t>[Ozturk, Nedime] Abdullah Gul Univ, Elek &amp; Bilgisayar Muhendisligi Anabilim Dali, Fen Bilimleri Enstitusu, Kayseri, Turkey; [Yilmaz, Bulent] Abdullah Gul Univ, Muhendislik Fak, Elekt Elekt Muhendisligi Bolumu, Kayseri, Turkey</t>
  </si>
  <si>
    <t>Abdullah Gul University; Abdullah Gul University</t>
  </si>
  <si>
    <t>Öztürk, N (corresponding author), Abdullah Gul Univ, Elek &amp; Bilgisayar Muhendisligi Anabilim Dali, Fen Bilimleri Enstitusu, Kayseri, Turkey.</t>
  </si>
  <si>
    <t>nedime.ozturk@agu.edu.tr; bulent.yilmaz@agu.edu.tr</t>
  </si>
  <si>
    <t>Karakullukcu, Nedime/X-2586-2019; Yılmaz, Bülent/ACR-8602-2022</t>
  </si>
  <si>
    <t>Karakullukcu, Nedime/0000-0002-1698-3705;</t>
  </si>
  <si>
    <t>Engineering; Medical Informatics; Medical Laboratory Technology</t>
  </si>
  <si>
    <t>WOS:000467637600086</t>
  </si>
  <si>
    <t>Altaheri, H; Muhammad, G; Alsulaiman, M</t>
  </si>
  <si>
    <t>Altaheri, Hamdi; Muhammad, Ghulam; Alsulaiman, Mansour</t>
  </si>
  <si>
    <t>Physics-Informed Attention Temporal Convolutional Network for EEG-Based Motor Imagery Classification</t>
  </si>
  <si>
    <t>IEEE TRANSACTIONS ON INDUSTRIAL INFORMATICS</t>
  </si>
  <si>
    <t>Attention; classification; convolution neural network (CNN); deep learning; electroencephalography (EEG); motor imagery; scientific machine learning; temporal convolution networks (TCN)</t>
  </si>
  <si>
    <t>The brain-computer interface (BCI) is a cutting-edge technology that has the potential to change the world. Electroencephalogram (EEG) motor imagery (MI) signal has been used extensively in many BCI applications to assist disabled people, control devices or environments, and even augment human capabilities. However, the limited performance of brain signal decoding is restricting the broad growth of the BCI industry. In this article, we propose an attention-based temporal convolutional network (ATCNet) for EEG-based motor imagery classification. The ATCNet model utilizes multiple techniques to boost the performance of MI classification with a relatively small number of parameters. ATCNet employs scientific machine learning to design a domain-specific deep learning model with interpretable and explainable features, multihead self-attention to highlight the most valuable features in MI-EEG data, temporal convolutional network to extract high-level temporal features, and convolutional-based sliding window to augment the MI-EEG data efficiently. The proposed model outperforms the current state-of-the-art techniques in the BCI Competition IV-2a dataset with an accuracy of 85.38% and 70.97% for the subject-dependent and subject-independent modes, respectively.</t>
  </si>
  <si>
    <t>[Altaheri, Hamdi; Muhammad, Ghulam; Alsulaiman, Mansour] King Saud Univ, Coll Comp &amp; Informat Sci, Dept Comp Engn, Riyadh 11543, Saudi Arabia</t>
  </si>
  <si>
    <t>Muhammad, G (corresponding author), King Saud Univ, Coll Comp &amp; Informat Sci, Dept Comp Engn, Riyadh 11543, Saudi Arabia.</t>
  </si>
  <si>
    <t>haltaheri@ksu.edu.sa; ghulam@ksu.edu.sa; msuliman@ksu.edu.sa</t>
  </si>
  <si>
    <t>Altaheri, Hamdi/AAG-3308-2019; Alsulaiman, Mansour/HIR-7117-2022; Muhammad, Ghulam/H-5884-2011</t>
  </si>
  <si>
    <t>Alsulaiman, Mansour/0000-0003-2866-184X; Altaheri, Hamdi/0000-0003-1780-6388; Muhammad, Ghulam/0000-0002-9781-3969</t>
  </si>
  <si>
    <t>10.1109/TII.2022.3197419</t>
  </si>
  <si>
    <t>WOS:000926964700110</t>
  </si>
  <si>
    <t>Sagee, GS; Hema, S</t>
  </si>
  <si>
    <t>Sagee, G. S.; Hema, S.</t>
  </si>
  <si>
    <t>EEG Feature Extraction and Classification in Multiclass Multiuser Motor Imagery Brain Computer Interface using Bayesian Network and ANN</t>
  </si>
  <si>
    <t>2017 INTERNATIONAL CONFERENCE ON INTELLIGENT COMPUTING, INSTRUMENTATION AND CONTROL TECHNOLOGIES (ICICICT)</t>
  </si>
  <si>
    <t>Artificial Neural Network; Bayesian Network; Brain Computer Interface; Naive Bayes classifier; Wavelet Decomposition</t>
  </si>
  <si>
    <t>Brain Computer Interface (BCI) is a direct communication channel between a trained human brain and an external device. For people who are paralysed, BCI acts as an interface to control and regulate external devices and replaces their lost motor functionality, using brain activity alone. A motor imagery BCI translates a person's imagination about a movement into control signals which in turn controls the intended device. For this, the EEG signals that are produced according to the motor imaging need to be processed and analysed using various signal processing algorithms. During a motor activity, only the sensorimotor rhythms, which are the mu. and beta rhythms, get activated. Wavelet decomposition, which could provide both frequency and time localization, is employed to extract the sensorimotor rhythms. Since different brain regions are dependent during an activity, the correlation between the EEG channels must also be considered during the extraction of features. For this, Bayesian Network approach is used to obtain the maximum probable channels during each motor activity. Most of the BCI systems are subject specific systems. The proposed system uses Artificial Neural Network for feature classification and is a multi-user BCI with increased accuracy, which can be an adaptive system for multiple users.</t>
  </si>
  <si>
    <t>[Sagee, G. S.; Hema, S.] LBS Inst Technol Women, Dept Elect &amp; Commun Engn, Thiruvananthapuram, Kerala, India</t>
  </si>
  <si>
    <t>LBS Institute of Technology for Women</t>
  </si>
  <si>
    <t>Sagee, GS (corresponding author), LBS Inst Technol Women, Dept Elect &amp; Commun Engn, Thiruvananthapuram, Kerala, India.</t>
  </si>
  <si>
    <t>sageegstvpm@gmail.com; hemarajen@gmail.com</t>
  </si>
  <si>
    <t>S, HEMA/NLN-9640-2025</t>
  </si>
  <si>
    <t>Automation &amp; Control Systems; Computer Science; Engineering; Instruments &amp; Instrumentation</t>
  </si>
  <si>
    <t>WOS:000443206600156</t>
  </si>
  <si>
    <t>Degirmenci, M; Yuce, YK; Perc, M; Isler, Y</t>
  </si>
  <si>
    <t>Degirmenci, Murside; Yuce, Yilmaz Kemal; Perc, Matjaz; Isler, Yalcin</t>
  </si>
  <si>
    <t>Statistically significant features improve binary and multiple Motor Imagery task predictions from EEGs</t>
  </si>
  <si>
    <t>brain-computer interfaces (BCIs); electroencephalogram (EEG); feature selection; machine learning; Motor Imagery (MI) task classification</t>
  </si>
  <si>
    <t>BRAIN-COMPUTER INTERFACES; FEATURE-EXTRACTION; HRV INDEXES; CLASSIFICATION; SELECTION; PERFORMANCE; REDUCTION; STATE</t>
  </si>
  <si>
    <t>In recent studies, in the field of Brain-Computer Interface (BCI), researchers have focused on Motor Imagery tasks. Motor Imagery-based electroencephalogram (EEG) signals provide the interaction and communication between the paralyzed patients and the outside world for moving and controlling external devices such as wheelchair and moving cursors. However, current approaches in the Motor Imagery-BCI system design require effective feature extraction methods and classification algorithms to acquire discriminative features from EEG signals due to the non-linear and non-stationary structure of EEG signals. This study investigates the effect of statistical significance-based feature selection on binary and multi-class Motor Imagery EEG signal classifications. In the feature extraction process performed 24 different time-domain features, 15 different frequency-domain features which are energy, variance, and entropy of Fourier transform within five EEG frequency subbands, 15 different time-frequency domain features which are energy, variance, and entropy of Wavelet transform based on five EEG frequency subbands, and 4 different Poincare plot-based non-linear parameters are extracted from each EEG channel. A total of 1,364 Motor Imagery EEG features are supplied from 22 channel EEG signals for each input EEG data. In the statistical significance-based feature selection process, the best one among all possible combinations of these features is tried to be determined using the independent t-test and one-way analysis of variance (ANOVA) test on binary and multi-class Motor Imagery EEG signal classifications, respectively. The whole extracted feature set and the feature set that contain statistically significant features only are classified in this study. We implemented 6 and 7 different classifiers in multi-class and binary (two-class) classification tasks, respectively. The classification process is evaluated using the five-fold cross-validation method, and each classification algorithm is tested 10 times. These repeated tests provide to check the repeatability of the results. The maximum of 61.86 and 47.36% for the two-class and four-class scenarios, respectively, are obtained with Ensemble Subspace Discriminant among all these classifiers using selected features including only statistically significant features. The results reveal that the introduced statistical significance-based feature selection approach improves the classifier performances by achieving higher classifier performances with fewer relevant components in Motor Imagery task classification. In conclusion, the main contribution of the presented study is two-fold evaluation of non-linear parameters as an alternative to the commonly used features and the prediction of multiple Motor Imagery tasks using statistically significant features.</t>
  </si>
  <si>
    <t>[Degirmenci, Murside] Izmir Katip Celebi Univ, Dept Biomed Technol, Izmir, Turkiye; [Yuce, Yilmaz Kemal] Alanya Alaaddin Keykubat Univ, Dept Comp Engn, Antalya, Turkiye; [Perc, Matjaz] Univ Maribor, Fac Nat Sci &amp; Math, Maribor, Slovenia; [Perc, Matjaz] China Med Univ, China Med Univ Hosp, Dept Med Res, Taichung, Taiwan; [Perc, Matjaz] Alma Mater Europaea, Maribor, Slovenia; [Perc, Matjaz] Complex Sci Hub Vienna, Vienna, Austria; [Perc, Matjaz] Kyung Hee Univ, Dept Phys, Seoul, South Korea; [Isler, Yalcin] Izmir Katip Celebi Univ, Dept Biomed Engn, Izmir, Turkiye</t>
  </si>
  <si>
    <t>Izmir Katip Celebi University; Alanya Alaaddin Keykubat University; University of Maribor; China Medical University Taiwan; China Medical University Hospital - Taiwan; Alma Mater Europaea; Kyung Hee University; Izmir Katip Celebi University</t>
  </si>
  <si>
    <t>Isler, Y (corresponding author), Izmir Katip Celebi Univ, Dept Biomed Engn, Izmir, Turkiye.</t>
  </si>
  <si>
    <t>islerya@yahoo.com</t>
  </si>
  <si>
    <t>YÜCE, YILMAZ/AAU-1116-2021; Isler, Yalcin/A-7399-2019; Değirmenci, Mürşide/JVY-9051-2024; Perc, Matjaz/A-5148-2009</t>
  </si>
  <si>
    <t>Isler, Yalcin/0000-0002-2150-4756; Degirmenci, Murside/0000-0003-0978-9653; Perc, Matjaz/0000-0002-3087-541X</t>
  </si>
  <si>
    <t>JUL 11</t>
  </si>
  <si>
    <t>10.3389/fnhum.2023.1223307</t>
  </si>
  <si>
    <t>WOS:001034826800001</t>
  </si>
  <si>
    <t>Yan, C; Zheng, SH; Wang, XZ</t>
  </si>
  <si>
    <t>Yan, Chen; Zheng, Shuhua; Wang, Xiangzhou</t>
  </si>
  <si>
    <t>A Brain-Robot Interface by BCI Based on Repeated Binary CSP</t>
  </si>
  <si>
    <t>2015 CHINESE AUTOMATION CONGRESS (CAC)</t>
  </si>
  <si>
    <t>Chinese Automation Congress</t>
  </si>
  <si>
    <t>EEG; Repeated Binary Common Spatial Pattern (RB-CSP); SVM; Brain-Robot</t>
  </si>
  <si>
    <t>In this paper, due to the low information transfer rate and low recognition accuracy in Brain-Computer Interface (BCI), a four-class motor imagery Brain-Robot Interface based on Repeated Binary Common Spatial Pattern (RB-CSP) and Support Vector Machine (SVM) is proposed. The control strategy is offline training first, online control next-after users finish learning to control their thinking, the system makes pattern recognition on the collected users' EEG signals and finally translates them into commands to control the movement of the robot. Experiments indicate that the system is able to extract users' EEG signal features quickly and correctly, translate them into robot's control instructions, which can be used to make real-time control on robots effectively.</t>
  </si>
  <si>
    <t>[Yan, Chen; Zheng, Shuhua; Wang, Xiangzhou] Beijing Inst Technol, Sch Automat, Beijing 100081, Peoples R China</t>
  </si>
  <si>
    <t>Beijing Institute of Technology</t>
  </si>
  <si>
    <t>Yan, C (corresponding author), Beijing Inst Technol, Sch Automat, Beijing 100081, Peoples R China.</t>
  </si>
  <si>
    <t>yanchen0610@126.com; zhengshuhua@bit.edu.cn; wangxiangzhou@263.net</t>
  </si>
  <si>
    <t>Zheng, Shuhua/J-9292-2019</t>
  </si>
  <si>
    <t>WOS:000380546900154</t>
  </si>
  <si>
    <t>Su, Y; Qi, Y; Luo, JX; Wu, B; Yang, F; Li, Y; Zhuang, YT; Zheng, XX; Chen, WD</t>
  </si>
  <si>
    <t>Su, Yu; Qi, Yu; Luo, Jian-xun; Wu, Bian; Yang, Fan; Li, Yi; Zhuang, Yue-ting; Zheng, Xiao-xiang; Chen, Wei-dong</t>
  </si>
  <si>
    <t>A hybrid brain-computer interface control strategy in a virtual environment</t>
  </si>
  <si>
    <t>JOURNAL OF ZHEJIANG UNIVERSITY-SCIENCE C-COMPUTERS &amp; ELECTRONICS</t>
  </si>
  <si>
    <t>Hybrid brain-computer interface (BCI) control strategy; P300 potential; Sensorimotor rhythms; Virtual environment</t>
  </si>
  <si>
    <t>MENTAL PROSTHESIS; EEG; COMMUNICATION; IMAGERY</t>
  </si>
  <si>
    <t>This paper presents a hybrid brain-computer interface (BCI) control strategy, the goal of which is to expand control functions of a conventional motor imagery or a P300 potential based BCI in a virtual environment. The hybrid control strategy utilizes P300 potential to control virtual devices and motor imagery related sensorimotor rhythms to navigate in the virtual world. The two electroencephalography (EEG) patterns serve as source signals for different control functions in their corresponding system states, and state switch is achieved in a sequential manner. In the current system, imagination of left/right hand movement was translated into turning left/right in the virtual apartment continuously, while P300 potentials were mapped to discrete virtual device control commands using a five-oddball paradigm. The combination of motor imagery and P300 patterns in one BCI system for virtual environment control was tested and the results were compared with those of a single motor imagery or P300-based BCI. Subjects obtained similar performances in the hybrid and single control tasks, which indicates the hybrid control strategy works well in the virtual environment.</t>
  </si>
  <si>
    <t>[Su, Yu; Qi, Yu; Luo, Jian-xun; Wu, Bian; Yang, Fan; Li, Yi; Zhuang, Yue-ting; Zheng, Xiao-xiang; Chen, Wei-dong] Zhejiang Univ, Qiushi Acad Adv Studies, Hangzhou 310027, Zhejiang, Peoples R China; [Su, Yu; Qi, Yu; Luo, Jian-xun; Yang, Fan; Li, Yi; Zhuang, Yue-ting; Chen, Wei-dong] Zhejiang Univ, Sch Comp Sci &amp; Technol, Hangzhou 310027, Zhejiang, Peoples R China; [Wu, Bian; Zheng, Xiao-xiang] Zhejiang Univ, Dept Biomed Engn, Hangzhou 310027, Zhejiang, Peoples R China; [Wu, Bian; Zheng, Xiao-xiang] Minist Educ, Key Lab Biomed Engn, Hangzhou 310027, Zhejiang, Peoples R China</t>
  </si>
  <si>
    <t>Zhejiang University; Zhejiang University; Zhejiang University</t>
  </si>
  <si>
    <t>Chen, WD (corresponding author), Zhejiang Univ, Qiushi Acad Adv Studies, Hangzhou 310027, Zhejiang, Peoples R China.</t>
  </si>
  <si>
    <t>qaas@zju.edu.cn</t>
  </si>
  <si>
    <t>; su, yukai/HKN-6615-2023; Yang, Fan/AAA-6904-2022; 陈, 韦东/KHX-4111-2024; qi, Yu/HZL-4774-2023</t>
  </si>
  <si>
    <t>10.1631/jzus.C1000208</t>
  </si>
  <si>
    <t>WOS:000290579600001</t>
  </si>
  <si>
    <t>Carrere, LC; Tabernig, CB</t>
  </si>
  <si>
    <t>Braidot, A; Hadad, A</t>
  </si>
  <si>
    <t>Carrere, L. C.; Tabernig, C. B.</t>
  </si>
  <si>
    <t>Detection of Foot Motor Imagery Using the Coefficient of Determination for Neurorehabilitation Based on BCI Technology</t>
  </si>
  <si>
    <t>VI LATIN AMERICAN CONGRESS ON BIOMEDICAL ENGINEERING (CLAIB 2014)</t>
  </si>
  <si>
    <t>foot motor imagery; BCI; EEG; rehabilitation</t>
  </si>
  <si>
    <t>A motor imagery based brain-computer interface (BCI) translates the subject's motor imagination of a body part into a control signal through real-time detection of particular features in the electroencephalography (EEG) signal. This type of BCIs might restore motor function by inducing brain plasticity to restore normal brain function. The purpose of this study was to investigate the feasibility of using the coefficient of determination (r(2)) as an estimator of event-related desynchronization (ERD) during foot motor imagery, in order to design a neurorehabilitation tool based on motor imagery BCI. 8-channels of EEG were recorded from three healthy subjects for different tasks: actual and imagined movement of both feet, imagined movement of left/right foot. The coefficient was computed for each situation, and its spatial distribution for a determined frequency value was represented in topography maps. The results showed that the r(2) is a reliable indicator of ERD related to foot motor imagery for all subjects. These findings suggest that in near future the design of a neurorehabilitation tool based on foot motor imagery using this coefficient is possible.</t>
  </si>
  <si>
    <t>[Carrere, L. C.; Tabernig, C. B.] Univ Nacl Entre Rios, Lab Ingn Rehabil &amp; Invest Neuromusculares &amp; Senso, Oro Verde, Entre Rios, Argentina</t>
  </si>
  <si>
    <t>Carrere, LC (corresponding author), Univ Nacl Entre Rios, Lab Ingn Rehabil &amp; Invest Neuromusculares &amp; Senso, Oro Verde, Entre Rios, Argentina.</t>
  </si>
  <si>
    <t>carrerecarolina@bioingenieria.edu.ar; ctabernig@bioingenieria.edu.ar</t>
  </si>
  <si>
    <t>CARRERE, L. Carolina/IWM-7033-2023</t>
  </si>
  <si>
    <t>10.1007/978-3-319-13117-7_239</t>
  </si>
  <si>
    <t>WOS:000363767200238</t>
  </si>
  <si>
    <t>Thomas, KP; Robinson, N; Vinod, AP</t>
  </si>
  <si>
    <t>Thomas, Kavitha P.; Robinson, Neethu; Vinod, A. P.</t>
  </si>
  <si>
    <t>EEG-based Motor Imagery Classification Using Subject-Specific Spatio-Spectral Features</t>
  </si>
  <si>
    <t>2017 IEEE INTERNATIONAL CONFERENCE ON SYSTEMS, MAN, AND CYBERNETICS (SMC)</t>
  </si>
  <si>
    <t>Electroencephalogram (EEG); Motor Imagery and Feature extraction</t>
  </si>
  <si>
    <t>CHANNEL SELECTION; COMPUTER; OPTIMIZATION</t>
  </si>
  <si>
    <t>Brain-Computer Interface (BCI) technology provides a new mode of direct communication between man and machine, replacing human's normal output control pathways of nerves and muscles. It embeds huge potential to be explored in medicine, rehabilitation and entertainment that can be used for the healthy as well as the disabled. In order to thoroughly exploit BCI's capabilities, efficient man-machine interaction has to be established by accurately identifying human intentions from brain waves. Electroencephalogram (EEG) is a strong tool in BCI research as it is a cheap and easy non-invasive recording methodology of brain activity encoded with human thoughts. This paper investigates an EEG dataset recorded from 85 healthy subjects performing imagination of motor movements, and highlights the necessity of selecting the subject-specific spatial and spectral features to optimize motor imagery recognition performance. Subject-specific spectral and spatial features associated with right and left hand motor imagery are identified on account of the discriminative weights of EEG signals recorded from motor cortex region. Discriminative capability has been estimated using the Fisher ratio values of each frequency component for each channel. Using the proposed hybrid subject-specific selection of channels and bands, the proposed BCI system is capable of offering comparable classification accuracy with the state of the art methodology which employs more number of channels and frequency bands.</t>
  </si>
  <si>
    <t>[Thomas, Kavitha P.; Robinson, Neethu; Vinod, A. P.] Nanyang Technol Univ, Sch Comp Sci &amp; Engn, Singapore, Singapore</t>
  </si>
  <si>
    <t>Nanyang Technological University</t>
  </si>
  <si>
    <t>Thomas, KP (corresponding author), Nanyang Technol Univ, Sch Comp Sci &amp; Engn, Singapore, Singapore.</t>
  </si>
  <si>
    <t>ptkavitha@ntu.edu.sg; nrobinson@ntu.edu.sg; asvinod@ntu.edu.sg</t>
  </si>
  <si>
    <t>WOS:000427598702059</t>
  </si>
  <si>
    <t>Friedrich, EVC; Scherer, R; Neuper, C</t>
  </si>
  <si>
    <t>Friedrich, Elisabeth V. C.; Scherer, Reinhold; Neuper, Christa</t>
  </si>
  <si>
    <t>The effect of distinct mental strategies on classification performance for brain-computer interfaces</t>
  </si>
  <si>
    <t>INTERNATIONAL JOURNAL OF PSYCHOPHYSIOLOGY</t>
  </si>
  <si>
    <t>EEG-based brain-computer interface (BCI); Different mental tasks; Common spatial patterns (CSP); Kappa; Event-related (de)synchronization (ERD/S); Task evaluation</t>
  </si>
  <si>
    <t>SINGLE-TRIAL EEG; MOTOR IMAGERY; COGNITIVE TASKS; MUSICAL IMAGERY; DESYNCHRONIZATION; COMMUNICATION; OSCILLATIONS; ACTIVATION; NAVIGATION; AGREEMENT</t>
  </si>
  <si>
    <t>Motor imagery is the task most commonly used to induce changes in electroencephalographic (EEG) signals for mental imagery-based brain computer interfacing (BCI). In this study, we investigated EEG patterns that were induced by seven different mental tasks (i.e. mental rotation, word association, auditory imagery, mental subtraction, spatial navigation, imagery of familiar faces and motor imagery) and evaluated the binary classification performance. The aim was to provide a broad range of reliable and user-appropriate tasks to make individual optimization of BCI control strategies possible. Nine users participated in four sessions of multi-channel EEG recordings. Mental tasks resulting most frequently in good binary classification performance include mental subtraction, word association, motor imagery and mental rotation. Our results indicate that a combination of 'brain-teasers' - tasks that require problem specific mental work (e.g. mental subtraction, word association) - and dynamic imagery tasks (e.g. motor imagery) result in highly distinguishable brain patterns that lead to an increased performance. (C) 2012 Elsevier B.V. All rights reserved.</t>
  </si>
  <si>
    <t>[Friedrich, Elisabeth V. C.; Neuper, Christa] Graz Univ, Dept Psychol, A-8010 Graz, Austria; [Friedrich, Elisabeth V. C.; Scherer, Reinhold; Neuper, Christa] Graz Univ Technol, Inst Knowledge Discovery, A-8010 Graz, Austria</t>
  </si>
  <si>
    <t>Friedrich, EVC (corresponding author), Graz Univ, Dept Psychol, Univ Pl 2-3, A-8010 Graz, Austria.</t>
  </si>
  <si>
    <t>elisabeth.friedrich@uni-graz.at; reinhold.scherer@tugraz.at; christa.neuper@uni-graz.at</t>
  </si>
  <si>
    <t>; Friedrich, Elisabeth/AAV-3839-2021</t>
  </si>
  <si>
    <t>Scherer, Reinhold/0000-0003-3407-9709; Friedrich, Elisabeth V. C./0000-0002-9267-156X;</t>
  </si>
  <si>
    <t>10.1016/j.ijpsycho.2012.01.014</t>
  </si>
  <si>
    <t>Psychology; Neurosciences &amp; Neurology; Physiology</t>
  </si>
  <si>
    <t>WOS:000303847200012</t>
  </si>
  <si>
    <t>Vourvopoulos, A; Badia, SBI</t>
  </si>
  <si>
    <t>Vourvopoulos, Athanasios; Badia, Sergi Bermudez i</t>
  </si>
  <si>
    <t>Motor priming in virtual reality can augment motor-imagery training efficacy in restorative brain-computer interaction: a within-subject analysis</t>
  </si>
  <si>
    <t>JOURNAL OF NEUROENGINEERING AND REHABILITATION</t>
  </si>
  <si>
    <t>Stroke rehabilitation; Brain-computer interfaces; Virtual reality; Motor priming; Motor imagery; Neurofeedback; EEG</t>
  </si>
  <si>
    <t>RANDOMIZED CONTROLLED-TRIAL; MIRROR-NEURON SYSTEM; CORTICAL REORGANIZATION; STROKE REHABILITATION; INTERFACE BCI; EEG; COMMUNICATION; ENVIRONMENTS; RECOVERY; MOVEMENT</t>
  </si>
  <si>
    <t>Background: The use of Brain-Computer Interface (BCI) technology in neurorehabilitation provides new strategies to overcome stroke-related motor limitations. Recent studies demonstrated the brain's capacity for functional and structural plasticity through BCI. However, it is not fully clear how we can take full advantage of the neurobiological mechanisms underlying recovery and how to maximize restoration through BCI. In this study we investigate the role of multimodal virtual reality (VR) simulations and motor priming (MP) in an upper limb motor-imagery BCI task in order to maximize the engagement of sensory-motor networks in a broad range of patients who can benefit from virtual rehabilitation training. Methods: In order to investigate how different BCI paradigms impact brain activation, we designed 3 experimental conditions in a within-subject design, including an immersive Multimodal Virtual Reality with Motor Priming (VRMP) condition where users had to perform motor-execution before BCI training, an immersive Multimodal VR condition, and a control condition with standard 2D feedback. Further, these were also compared to overt motor-execution. Finally, a set of questionnaires were used to gather subjective data on Workload, Kinesthetic Imagery and Presence. Results: Our findings show increased capacity to modulate and enhance brain activity patterns in all extracted EEG rhythms matching more closely those present during motor-execution and also a strong relationship between electrophysiological data and subjective experience. Conclusions: Our data suggest that both VR and particularly MP can enhance the activation of brain patterns present during overt motor-execution. Further, we show changes in the interhemispheric EEG balance, which might play an important role in the promotion of neural activation and neuroplastic changes in stroke patients in a motor-imagery neurofeedback paradigm. In addition, electrophysiological correlates of psychophysiological responses provide us with valuable information about the motor and affective state of the user that has the potential to be used to predict MI-BCI training outcome based on user's profile. Finally, we propose a BCI paradigm in VR, which gives the possibility of motor priming for patients with low level of motor control.</t>
  </si>
  <si>
    <t>[Vourvopoulos, Athanasios; Badia, Sergi Bermudez i] Univ Madeira, Fac Ciencias Exatas &amp; Engn, Campus Univ Penteada, P-9020105 Funchal, Portugal; [Vourvopoulos, Athanasios; Badia, Sergi Bermudez i] Madeira Interact Technol Inst, Polo Cient &amp; Tecnol Madeira, P-9020105 Funchal, Portugal</t>
  </si>
  <si>
    <t>Universidade da Madeira</t>
  </si>
  <si>
    <t>Vourvopoulos, A (corresponding author), Univ Madeira, Fac Ciencias Exatas &amp; Engn, Campus Univ Penteada, P-9020105 Funchal, Portugal.;Vourvopoulos, A (corresponding author), Madeira Interact Technol Inst, Polo Cient &amp; Tecnol Madeira, P-9020105 Funchal, Portugal.</t>
  </si>
  <si>
    <t>athanasios.vourvopoulos@m-iti.org</t>
  </si>
  <si>
    <t>Badia, Sergi/C-8681-2018; Bermudez i Badia, Sergi/C-8681-2018; Vourvopoulos, Athanasios/F-3872-2017</t>
  </si>
  <si>
    <t>Bermudez i Badia, Sergi/0000-0003-4452-0414; Vourvopoulos, Athanasios/0000-0001-9676-8599</t>
  </si>
  <si>
    <t>AUG 9</t>
  </si>
  <si>
    <t>10.1186/s12984-016-0173-2</t>
  </si>
  <si>
    <t>Engineering; Neurosciences &amp; Neurology; Rehabilitation</t>
  </si>
  <si>
    <t>WOS:000381337100002</t>
  </si>
  <si>
    <t>Liu, Y; Zhao, QN; Zhang, LQ</t>
  </si>
  <si>
    <t>Liu, Ye; Zhao, Qibin; Zhang, Liqing</t>
  </si>
  <si>
    <t>Uncorrelated Multiway Discriminant Analysis for Motor Imagery EEG Classification</t>
  </si>
  <si>
    <t>INTERNATIONAL JOURNAL OF NEURAL SYSTEMS</t>
  </si>
  <si>
    <t>Brain computer interface (BCI); electroencephalography; classification; tensor Factorization</t>
  </si>
  <si>
    <t>SINGLE-TRIAL EEG; STROKE PATIENTS; SPATIAL-PATTERNS; BCI; REORGANIZATION; RECOVERY; FILTERS; SET</t>
  </si>
  <si>
    <t>Motor imagery-based brain-computer interfaces (BCIs) training has been proved to be an effective communication system between human brain and external devices. A practical problem in BCI-based systems is how to correctly and efficiently identify and extract subject-specific features from the blurred scalp electroencephalography (EEG) and translate those features into device commands in order to control external devices. In real BCI-based applications, we usually define frequency bands and channels configuration that related to brain activities beforehand. However, a steady configuration usually loses effects due to individual variability among different subjects in practical applications. In this study, a robust tensor-based method is proposed for a multiway discriminative subspace extraction from tensor-represented EEG data, which performs well in motor imagery EEG classification without the prior neurophysiologic knowledge like channels configuration and active frequency bands. Motor imagery EEG patterns in spatial-spectral-temporal domain are detected directly from the multidimensional EEG, which may provide insights to the underlying cortical activity patterns. Extensive experiment comparisons have been performed on a benchmark dataset from the famous BCI competition III as well as self-acquired data from healthy subjects and stroke patients. The experimental results demonstrate the superior performance of the proposed method over the contemporary methods.</t>
  </si>
  <si>
    <t>[Liu, Ye; Zhang, Liqing] Shanghai Jiao Tong Univ, Dept Comp Sci &amp; Engn, Key Lab Shanghai Educ Commiss Intelligent Interac, Shanghai 200240, Peoples R China; [Zhao, Qibin] RIKEN, Brain Sci Inst, Lab Adv Brain Signal Proc, Saitama, Japan</t>
  </si>
  <si>
    <t>Shanghai Jiao Tong University; RIKEN</t>
  </si>
  <si>
    <t>Zhang, LQ (corresponding author), Shanghai Jiao Tong Univ, Dept Comp Sci &amp; Engn, Key Lab Shanghai Educ Commiss Intelligent Interac, Shanghai 200240, Peoples R China.</t>
  </si>
  <si>
    <t>lyyx000@sjtu.edu.cn; qbzhao@brain.riken.jp; zhang-lq@cs.sjtu.edu.cn</t>
  </si>
  <si>
    <t>Zhao, Qibin/D-1689-2014</t>
  </si>
  <si>
    <t>10.1142/S0129065715500136</t>
  </si>
  <si>
    <t>WOS:000355328600003</t>
  </si>
  <si>
    <t>Li, H; Liu, M; Yu, X; Zhu, JQ; Wang, CF; Chen, XY; Feng, C; Leng, JC; Zhang, Y; Xu, FZ</t>
  </si>
  <si>
    <t>Li, Han; Liu, Ming; Yu, Xin; Zhu, JianQun; Wang, Chongfeng; Chen, Xinyi; Feng, Chao; Leng, Jiancai; Zhang, Yang; Xu, Fangzhou</t>
  </si>
  <si>
    <t>Coherence based graph convolution network for motor imagery-induced EEG after spinal cord injury</t>
  </si>
  <si>
    <t>electroencephalogram; motor imagery; brain-computer interface; coherence-based graph convolutional network; spinal cord injury</t>
  </si>
  <si>
    <t>FUNCTIONAL CONNECTIVITY; CHRONIC PAIN</t>
  </si>
  <si>
    <t>BackgroundSpinal cord injury (SCI) may lead to impaired motor function, autonomic nervous system dysfunction, and other dysfunctions. Brain-computer Interface (BCI) system based on motor imagery (MI) can provide more scientific and effective treatment solutions for SCI patients. MethodsAccording to the interaction between brain regions, a coherence-based graph convolutional network (C-GCN) method is proposed to extract the temporal-frequency-spatial features and functional connectivity information of EEG signals. The proposed algorithm constructs multi-channel EEG features based on coherence networks as graphical signals and then classifies MI tasks. Different from the traditional graphical convolutional neural network (GCN), the C-GCN method uses the coherence network of EEG signals to determine MI-related functional connections, which are used to represent the intrinsic connections between EEG channels in different rhythms and different MI tasks. EEG data of SCI patients and healthy subjects have been analyzed, where healthy subjects served as the control group. ResultsThe experimental results show that the C-GCN method can achieve the best classification performance with certain reliability and stability, the highest classification accuracy is 96.85%. ConclusionThe proposed framework can provide an effective theoretical basis for the rehabilitation treatment of SCI patients.</t>
  </si>
  <si>
    <t>[Li, Han; Liu, Ming; Yu, Xin; Zhu, JianQun; Wang, Chongfeng; Chen, Xinyi; Feng, Chao; Leng, Jiancai; Xu, Fangzhou] Qilu Univ Technol, Shandong Acad Sci, Int Sch Optoelect Engn, Jinan, Peoples R China; [Zhang, Yang] Shandong Univ, Qilu Hosp, Qilu Hosp, Jinan, Peoples R China</t>
  </si>
  <si>
    <t>Qilu University of Technology; Shandong University</t>
  </si>
  <si>
    <t>Feng, C; Leng, JC; Xu, FZ (corresponding author), Qilu Univ Technol, Shandong Acad Sci, Int Sch Optoelect Engn, Jinan, Peoples R China.;Zhang, Y (corresponding author), Shandong Univ, Qilu Hosp, Qilu Hosp, Jinan, Peoples R China.</t>
  </si>
  <si>
    <t>cfeng@qlu.edu.cn; jiancaileng@qlu.edu.cn; zhangyang982003@163.com; xfz@qlu.edu.cn</t>
  </si>
  <si>
    <t>Leng, Jiancai/AHC-0955-2022; Xu, Fangzhou/AAO-7620-2021; feng, chao/GOV-4453-2022</t>
  </si>
  <si>
    <t>JAN 13</t>
  </si>
  <si>
    <t>10.3389/fnins.2022.1097660</t>
  </si>
  <si>
    <t>WOS:000920869100001</t>
  </si>
  <si>
    <t>Bao, XC; Mu, ZD; Hu, JF</t>
  </si>
  <si>
    <t>Bao, Xuecai; Mu, Zhendong; Hu, Jianfeng</t>
  </si>
  <si>
    <t>Nonlinear Analysis for Motor Imagery EEG based Kernel Partial Least Squares</t>
  </si>
  <si>
    <t>ICIEA: 2009 4TH IEEE CONFERENCE ON INDUSTRIAL ELECTRONICS AND APPLICATIONS, VOLS 1-6</t>
  </si>
  <si>
    <t>kernel partial least squares; Brain-computer interface; motor imagery</t>
  </si>
  <si>
    <t>A brain-computer interface (BCI) is a system that should in its ultimate form translate a subject's intent into a technical control signal without resorting to the classical neuromuscular communication channels. However, electroencephalogram(EEG) signal is non-stationary signals, linear analysis methods is not well performance for feature extraction of EEG. Nonlinear analysis methods based kernel partial least squares(KPLS) was proposed to use for classification of motor imagery. The coefficients of AR model for C3,C4,Cz electrodes were computed, which were transformed as the independent variables. After numbers of factor extraction was assessed by the analysis for cross-validation, Linear and nonlinear PLS were used for classification of the motor imagery. It shows that the satisfactory results are obtained and high performance of kernel partial least squares compares against linear partial least squares.</t>
  </si>
  <si>
    <t>[Bao, Xuecai; Mu, Zhendong; Hu, Jianfeng] JiangXi Blue Sky Univ Nanchang, Inst Informat &amp; Technol, Nanchang 330098, Peoples R China</t>
  </si>
  <si>
    <t>Bao, XC (corresponding author), JiangXi Blue Sky Univ Nanchang, Inst Informat &amp; Technol, Nanchang 330098, Peoples R China.</t>
  </si>
  <si>
    <t>baoxuecai@sina.com; zd_mu@sobu.com; huguess@21cn.com</t>
  </si>
  <si>
    <t>, Jianfeng/N-3163-2015; hu, Jianfeng/N-3163-2015</t>
  </si>
  <si>
    <t>, Jianfeng/0000-0003-4352-2223; Mu, Zhendong/0000-0002-6290-2064; Hu, Jianfeng/0000-0002-0669-4328</t>
  </si>
  <si>
    <t>WOS:000273183201016</t>
  </si>
  <si>
    <t>Chau, MT; Minh, KN; Thanh, LV; The, HAN; Nhu, YHT; Huynh, LD; Anh, VDV; Ngoc, DV; Trong, NHT</t>
  </si>
  <si>
    <t>Chau, Ma Thi; Minh, Kien Nguyen; Thanh, Long Vu; The, Hoang Anh Nguyen; Nhu, Y. Huynh Thi; Huynh, Loc Dang; Anh, Vu Doan Van; Ngoc, Duy Vo; Trong, Nghia Hoang Tien</t>
  </si>
  <si>
    <t>Utilizing VR-BCI for motor function rehabilitation</t>
  </si>
  <si>
    <t>TECHNOLOGY AND DISABILITY</t>
  </si>
  <si>
    <t>brain-computer interface (BCI); virtual reality (VR); electroencephalogram (EEG); motor imagery (MI)</t>
  </si>
  <si>
    <t>Brain-computer interface (BCI) is a promising interactive technology for restoring motor function in patients with motor neuron diseases. Combining virtual reality (VR) with BCI has shown better rehabilitation results, yet research and practical applications remain limited, especially in Vietnam. This research aims to introduce a comprehensive VR-BCI system to aid patients with motor function impairments in the recovering process. This approach seeks to improve neuroplasticity and recovery through immersive interactions, also advancing the development of effective rehabilitation tools, particularly in developing countries with limited access to advanced medical technologies, such as Vietnam. Using affordable Electroencephalogram (EEG) and VR devices, the system is optimized for Vietnamese healthcare standards, providing an accessible solution for home-based therapy. Key features include EEG data processing through digital signal processing techniques, custom-designed VR scenarios, and personalized exercise modules. Initial trials with five stroke patients show promising improvements in motor control, particularly in 2 patients with minimal signal interference and high engagement. Feedback from users and healthcare professionals highlights the system's usability and potential to improve motor rehabilitation outcomes.</t>
  </si>
  <si>
    <t>[Chau, Ma Thi; Minh, Kien Nguyen; Thanh, Long Vu] Vietnam Natl Univ, Univ Engn &amp; Technol, Room 307,Bldg E3,144 Xuan Thuy, Cau Giay 100000, Hanoi, Vietnam; [The, Hoang Anh Nguyen] Vietnam Korea Inst Sci &amp; Technol, Minist Sci &amp; Technol, Hanoi, Vietnam; [Huynh, Loc Dang; Ngoc, Duy Vo] Mil Hosp 175, Dept Neurol, Ho Chi Minh City, Vietnam</t>
  </si>
  <si>
    <t>Vietnam National University Hanoi (VNU Hanoi) System</t>
  </si>
  <si>
    <t>Chau, MT (corresponding author), Vietnam Natl Univ, Univ Engn &amp; Technol, Room 307,Bldg E3,144 Xuan Thuy, Cau Giay 100000, Hanoi, Vietnam.</t>
  </si>
  <si>
    <t>chaumt@vnu.edu.vn</t>
  </si>
  <si>
    <t>Vu Thanh Long, 21020647/0009-0006-2867-7832</t>
  </si>
  <si>
    <t>10.1177/10554181251340662</t>
  </si>
  <si>
    <t>MAY 2025</t>
  </si>
  <si>
    <t>WOS:001489218600001</t>
  </si>
  <si>
    <t>Pichiorri, F; Fallani, FD; Cincotti, F; Babiloni, F; Molinari, M; Kleih, SC; Neuper, C; Kübler, A; Mattia, D</t>
  </si>
  <si>
    <t>Pichiorri, F.; Fallani, F. De Vico; Cincotti, F.; Babiloni, F.; Molinari, M.; Kleih, S. C.; Neuper, C.; Kuebler, A.; Mattia, D.</t>
  </si>
  <si>
    <t>Sensorimotor rhythm-based brain-computer interface training: the impact on motor cortical responsiveness</t>
  </si>
  <si>
    <t>TRANSCRANIAL MAGNETIC STIMULATION; EVOKED-POTENTIALS MEPS; CORTICOSPINAL EXCITABILITY; BASIC PRINCIPLES; IMAGERY; EEG; COMMUNICATION; PLASTICITY; FACILITATION; NETWORKS</t>
  </si>
  <si>
    <t>The main purpose of electroencephalography (EEG)-based brain-computer interface (BCI) technology is to provide an alternative channel to support communication and control when motor pathways are interrupted. Despite the considerable amount of research focused on the improvement of EEG signal detection and translation into output commands, little is known about how learning to operate a BCI device may affect brain plasticity. This study investigated if and how sensorimotor rhythm-based BCI training would induce persistent functional changes in motor cortex, as assessed with transcranial magnetic stimulation (TMS) and high-density EEG. Motor imagery (MI)-based BCI training in naive participants led to a significant increase in motor cortical excitability, as revealed by post-training TMS mapping of the hand muscle's cortical representation; peak amplitude and volume of the motor evoked potentials recorded from the opponens pollicis muscle were significantly higher only in those subjects who develop a MI strategy based on imagination of hand grasping to successfully control a computer cursor. Furthermore, analysis of the functional brain networks constructed using a connectivity matrix between scalp electrodes revealed a significant decrease in the global efficiency index for the higher-beta frequency range (22-29 Hz), indicating that the brain network changes its topology with practice of hand grasping MI. Our findings build the neurophysiological basis for the use of non-invasive BCI technology for monitoring and guidance of motor imagery-dependent brain plasticity and thus may render BCI a viable tool for post-stroke rehabilitation.</t>
  </si>
  <si>
    <t>[Pichiorri, F.; Fallani, F. De Vico; Cincotti, F.; Babiloni, F.; Mattia, D.] IRCCS, Fdn Santa Lucia, Neurolelect Imaging &amp; BCI Lab, Rome, Italy; [Babiloni, F.] Univ Roma La Sapienza, Dept Human Physiol, Rome, Italy; [Molinari, M.] IRCCS, Fdn Santa Lucia, Lab Neuroriabilitaz Sperimentale, Rome, Italy; [Kleih, S. C.; Kuebler, A.] Univ Wurzburg, Dept Psychol 1, Wurzburg, Germany; [Kleih, S. C.; Kuebler, A.] Univ Tubingen, Inst Med Psychol &amp; Behav Neurobiol, Tubingen, Germany; [Neuper, C.] Graz Univ Technol, Inst Knowledge Discovery, Lab Brain Comp Interfaces, A-8010 Graz, Austria; [Neuper, C.] Graz Univ, Dept Psychol, Graz, Austria</t>
  </si>
  <si>
    <t>IRCCS Santa Lucia; Sapienza University Rome; IRCCS Santa Lucia; University of Wurzburg; Eberhard Karls University of Tubingen; Eberhard Karls University Hospital; Graz University of Technology; University of Graz</t>
  </si>
  <si>
    <t>Pichiorri, F (corresponding author), IRCCS, Fdn Santa Lucia, Neurolelect Imaging &amp; BCI Lab, Rome, Italy.</t>
  </si>
  <si>
    <t>d.mattia@hsantalucia.it</t>
  </si>
  <si>
    <t>Cincotti, Febo/C-3664-2008; Molinari, Marco/A-9624-2010; Babiloni, Fabio/E-5169-2015; Mattia, Donatella/D-7569-2012; De Vico Fallani, Fabrizio/A-2157-2010; Pichiorri, Floriana/J-9997-2016; Kleih-Dahms, Sonja/AAA-6650-2022</t>
  </si>
  <si>
    <t>Cincotti, Febo/0000-0003-1898-6480; Molinari, Marco/0000-0001-9808-9688; Babiloni, Fabio/0000-0002-4962-176X; Mattia, Donatella/0000-0002-3092-2511; Pichiorri, Floriana/0000-0003-1225-7025; Kubler, Andrea/0000-0003-4876-0415</t>
  </si>
  <si>
    <t>10.1088/1741-2560/8/2/025020</t>
  </si>
  <si>
    <t>WOS:000289199000021</t>
  </si>
  <si>
    <t>Nam, H; Kim, JM; Choi, W; Bak, S; Kam, TE</t>
  </si>
  <si>
    <t>Nam, Hyeonyeong; Kim, Jun-Mo; Choi, WooHyeok; Bak, Soyeon; Kam, Tae-Eui</t>
  </si>
  <si>
    <t>The effects of layer-wise relevance propagation-based feature selection for EEG classification: a comparative study on multiple datasets</t>
  </si>
  <si>
    <t>brain-computer interface; feature selection; layer-wise relevance propagation; motor imagery classification; electroencephalography; analysis</t>
  </si>
  <si>
    <t>CONVOLUTIONAL NEURAL-NETWORKS; MOTOR-IMAGERY CLASSIFICATION; BRAIN-COMPUTER INTERFACES</t>
  </si>
  <si>
    <t>IntroductionThe brain-computer interface (BCI) allows individuals to control external devices using their neural signals. One popular BCI paradigm is motor imagery (MI), which involves imagining movements to induce neural signals that can be decoded to control devices according to the user's intention. Electroencephalography (EEG) is frequently used for acquiring neural signals from the brain in the fields of MI-BCI due to its non-invasiveness and high temporal resolution. However, EEG signals can be affected by noise and artifacts, and patterns of EEG signals vary across different subjects. Therefore, selecting the most informative features is one of the essential processes to enhance classification performance in MI-BCI. MethodsIn this study, we design a layer-wise relevance propagation (LRP)-based feature selection method which can be easily integrated into deep learning (DL)-based models. We assess its effectiveness for reliable class-discriminative EEG feature selection on two different publicly available EEG datasets with various DL-based backbone models in the subject-dependent scenario. Results and discussionThe results show that LRP-based feature selection enhances the performance for MI classification on both datasets for all DL-based backbone models. Based on our analysis, we believe that it can broad its capability to different research domains.</t>
  </si>
  <si>
    <t>[Nam, Hyeonyeong; Kim, Jun-Mo; Choi, WooHyeok; Bak, Soyeon; Kam, Tae-Eui] Korea Univ, Dept Artificial Intelligence, Seoul, South Korea</t>
  </si>
  <si>
    <t>Kam, TE (corresponding author), Korea Univ, Dept Artificial Intelligence, Seoul, South Korea.</t>
  </si>
  <si>
    <t>kamte@korea.ac.kr</t>
  </si>
  <si>
    <t>CHOI, WOOHYEOK/0009-0002-1888-4281</t>
  </si>
  <si>
    <t>JUN 5</t>
  </si>
  <si>
    <t>10.3389/fnhum.2023.1205881</t>
  </si>
  <si>
    <t>WOS:001010090300001</t>
  </si>
  <si>
    <t>Useful Info</t>
  </si>
  <si>
    <t>Research Question: How can advances in EEG signal processing utilizing machine learning within BCI's enhance the accuracy of interpreting motor intention for neuroprosthetic applications?</t>
  </si>
  <si>
    <t>Keywords:</t>
  </si>
  <si>
    <t>Neuroprosthetics</t>
  </si>
  <si>
    <t>EEG Signal Processing</t>
  </si>
  <si>
    <t>Motor intention</t>
  </si>
  <si>
    <t>Figures Doc:</t>
  </si>
  <si>
    <t>https://docs.google.com/document/d/1rJIB3IC0YkD-iQL_Euye-PjRMCHGhTHn0yk4fx9OhlI/edit?usp=sharing</t>
  </si>
  <si>
    <t>Past Cohort Summary Example:</t>
  </si>
  <si>
    <t>https://docs.google.com/spreadsheets/d/1ZAl4CWF5UpnEZ_7rXbPMC6rxU4p9bvJ3/edit?usp=sharing&amp;ouid=111800175421114997656&amp;rtpof=true&amp;sd=true</t>
  </si>
  <si>
    <t>Past Cohort Abstract Information:</t>
  </si>
  <si>
    <t>https://docs.google.com/document/d/1Hn4NKvihsmvCVAEkjbCo8ki_X5M3zmPiMjZ_gwmmf54/edit?usp=sharing</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</si>
</sst>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sz val="9.0"/>
      <color theme="1"/>
      <name val="Arial"/>
      <scheme val="minor"/>
    </font>
    <font>
      <u/>
      <color rgb="FF0000FF"/>
    </font>
    <font>
      <u/>
      <color rgb="FF0000FF"/>
    </font>
    <font>
      <u/>
      <color rgb="FF0000FF"/>
    </font>
    <font>
      <u/>
      <color rgb="FF0000FF"/>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2" numFmtId="0" xfId="0" applyFont="1"/>
    <xf borderId="0" fillId="0" fontId="3" numFmtId="0" xfId="0" applyFont="1"/>
    <xf borderId="0" fillId="0" fontId="2" numFmtId="0" xfId="0" applyAlignment="1" applyFont="1">
      <alignment readingOrder="0"/>
    </xf>
    <xf borderId="0" fillId="0" fontId="4" numFmtId="0" xfId="0" applyAlignment="1" applyFont="1">
      <alignment readingOrder="0" shrinkToFit="0" wrapText="0"/>
    </xf>
    <xf borderId="0" fillId="0" fontId="2" numFmtId="0" xfId="0" applyAlignment="1" applyFont="1">
      <alignment readingOrder="0" shrinkToFit="0" wrapText="0"/>
    </xf>
    <xf borderId="0" fillId="0" fontId="5" numFmtId="0" xfId="0" applyFont="1"/>
    <xf borderId="0" fillId="0" fontId="6" numFmtId="0" xfId="0" applyAlignment="1" applyFont="1">
      <alignment readingOrder="0" shrinkToFit="0" wrapText="0"/>
    </xf>
    <xf borderId="0" fillId="0" fontId="2" numFmtId="0" xfId="0" applyAlignment="1" applyFont="1">
      <alignment shrinkToFit="0" wrapText="0"/>
    </xf>
    <xf borderId="0" fillId="2" fontId="2" numFmtId="0" xfId="0" applyAlignment="1" applyFill="1" applyFont="1">
      <alignment readingOrder="0"/>
    </xf>
    <xf borderId="0" fillId="2" fontId="2" numFmtId="0" xfId="0" applyAlignment="1" applyFont="1">
      <alignment shrinkToFit="0" wrapText="0"/>
    </xf>
    <xf borderId="0" fillId="2" fontId="2" numFmtId="0" xfId="0" applyFont="1"/>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_Jo1FZ6KnL5kAKARYkGS4DvNhinekTFwl5ZE1JimWdk/edit?usp=sharing" TargetMode="External"/><Relationship Id="rId2" Type="http://schemas.openxmlformats.org/officeDocument/2006/relationships/hyperlink" Target="https://docs.google.com/document/d/1IrfYx6b8-Q8YfsOCV2FTX9R7xI49ijX6iEqQeGRFsxk/edit?usp=sharing" TargetMode="External"/><Relationship Id="rId3" Type="http://schemas.openxmlformats.org/officeDocument/2006/relationships/hyperlink" Target="https://docs.google.com/document/d/145GMX24-3OO4BQh3AYQEeLFAmUjuA1nysToeVs6SqMs/edit?usp=sharing" TargetMode="External"/><Relationship Id="rId4" Type="http://schemas.openxmlformats.org/officeDocument/2006/relationships/hyperlink" Target="https://docs.google.com/document/d/14Dtc3roICt81j-L3sCXRYUIh4clEpHpaFRMXurzhDtc/edit?usp=sharing" TargetMode="External"/><Relationship Id="rId9" Type="http://schemas.openxmlformats.org/officeDocument/2006/relationships/drawing" Target="../drawings/drawing1.xml"/><Relationship Id="rId5" Type="http://schemas.openxmlformats.org/officeDocument/2006/relationships/hyperlink" Target="https://docs.google.com/document/d/1Imi-VWY2AMh4u_bWXrFgDRkd0BF5lgbXSDe6eRgO52A/edit?usp=sharing" TargetMode="External"/><Relationship Id="rId6" Type="http://schemas.openxmlformats.org/officeDocument/2006/relationships/hyperlink" Target="https://docs.google.com/document/d/1uragoJC3OGbwWFBsoJ4BWXUXTLxfoBMIGyYb7fiJRbA/edit?tab=t.0" TargetMode="External"/><Relationship Id="rId7" Type="http://schemas.openxmlformats.org/officeDocument/2006/relationships/hyperlink" Target="https://docs.google.com/document/d/1SefkP_69TgehhnIcB56ZnnpesWmHH7BqXUyOC9iNLEc/edit?usp=sharing" TargetMode="External"/><Relationship Id="rId8" Type="http://schemas.openxmlformats.org/officeDocument/2006/relationships/hyperlink" Target="https://docs.google.com/document/d/1DU1S6kjbU5oMqXsSsTvpyBZWe82SBonrHqpexhUtd58/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rJIB3IC0YkD-iQL_Euye-PjRMCHGhTHn0yk4fx9OhlI/edit?usp=sharing" TargetMode="External"/><Relationship Id="rId2" Type="http://schemas.openxmlformats.org/officeDocument/2006/relationships/hyperlink" Target="https://docs.google.com/spreadsheets/d/1ZAl4CWF5UpnEZ_7rXbPMC6rxU4p9bvJ3/edit?usp=sharing&amp;ouid=111800175421114997656&amp;rtpof=true&amp;sd=true" TargetMode="External"/><Relationship Id="rId3" Type="http://schemas.openxmlformats.org/officeDocument/2006/relationships/hyperlink" Target="https://docs.google.com/document/d/1Hn4NKvihsmvCVAEkjbCo8ki_X5M3zmPiMjZ_gwmmf54/edit?usp=sharing"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25.13"/>
    <col customWidth="1" min="3" max="3" width="13.38"/>
    <col customWidth="1" min="4" max="75" width="8.0"/>
  </cols>
  <sheetData>
    <row r="1" ht="12.75" customHeight="1">
      <c r="A1" s="1" t="s">
        <v>0</v>
      </c>
      <c r="B1" s="2" t="s">
        <v>1</v>
      </c>
      <c r="C1" s="1"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4"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row>
    <row r="2" ht="12.75" customHeight="1">
      <c r="A2" s="5" t="s">
        <v>75</v>
      </c>
      <c r="B2" s="6" t="s">
        <v>76</v>
      </c>
      <c r="C2" s="5">
        <v>3.0</v>
      </c>
      <c r="D2" s="3" t="s">
        <v>77</v>
      </c>
      <c r="E2" s="3" t="s">
        <v>78</v>
      </c>
      <c r="F2" s="3" t="s">
        <v>79</v>
      </c>
      <c r="G2" s="3" t="s">
        <v>79</v>
      </c>
      <c r="H2" s="3" t="s">
        <v>80</v>
      </c>
      <c r="I2" s="3" t="s">
        <v>81</v>
      </c>
      <c r="J2" s="3" t="s">
        <v>79</v>
      </c>
      <c r="K2" s="3" t="s">
        <v>79</v>
      </c>
      <c r="L2" s="3" t="s">
        <v>82</v>
      </c>
      <c r="M2" s="3" t="s">
        <v>83</v>
      </c>
      <c r="N2" s="3" t="s">
        <v>79</v>
      </c>
      <c r="O2" s="3" t="s">
        <v>79</v>
      </c>
      <c r="P2" s="3" t="s">
        <v>79</v>
      </c>
      <c r="Q2" s="3" t="s">
        <v>84</v>
      </c>
      <c r="R2" s="3" t="s">
        <v>79</v>
      </c>
      <c r="S2" s="3" t="s">
        <v>79</v>
      </c>
      <c r="T2" s="3" t="s">
        <v>79</v>
      </c>
      <c r="U2" s="3" t="s">
        <v>79</v>
      </c>
      <c r="V2" s="3" t="s">
        <v>79</v>
      </c>
      <c r="W2" s="3" t="s">
        <v>85</v>
      </c>
      <c r="X2" s="3" t="s">
        <v>86</v>
      </c>
      <c r="Y2" s="3" t="s">
        <v>87</v>
      </c>
      <c r="Z2" s="3" t="s">
        <v>88</v>
      </c>
      <c r="AA2" s="3" t="s">
        <v>89</v>
      </c>
      <c r="AB2" s="3" t="s">
        <v>90</v>
      </c>
      <c r="AC2" s="3" t="s">
        <v>91</v>
      </c>
      <c r="AD2" s="3" t="s">
        <v>92</v>
      </c>
      <c r="AE2" s="3" t="s">
        <v>93</v>
      </c>
      <c r="AF2" s="3" t="s">
        <v>79</v>
      </c>
      <c r="AG2" s="3" t="s">
        <v>79</v>
      </c>
      <c r="AH2" s="3" t="s">
        <v>79</v>
      </c>
      <c r="AI2" s="3" t="s">
        <v>79</v>
      </c>
      <c r="AJ2" s="3">
        <v>14.0</v>
      </c>
      <c r="AK2" s="3">
        <v>20.0</v>
      </c>
      <c r="AL2" s="3">
        <v>22.0</v>
      </c>
      <c r="AM2" s="3" t="s">
        <v>79</v>
      </c>
      <c r="AN2" s="3" t="s">
        <v>79</v>
      </c>
      <c r="AO2" s="3" t="s">
        <v>79</v>
      </c>
      <c r="AP2" s="3" t="s">
        <v>79</v>
      </c>
      <c r="AQ2" s="3" t="s">
        <v>79</v>
      </c>
      <c r="AR2" s="3" t="s">
        <v>79</v>
      </c>
      <c r="AS2" s="3" t="s">
        <v>79</v>
      </c>
      <c r="AT2" s="3" t="s">
        <v>79</v>
      </c>
      <c r="AU2" s="3" t="s">
        <v>79</v>
      </c>
      <c r="AV2" s="3" t="s">
        <v>79</v>
      </c>
      <c r="AW2" s="3" t="s">
        <v>79</v>
      </c>
      <c r="AX2" s="3">
        <v>2017.0</v>
      </c>
      <c r="AY2" s="3" t="s">
        <v>79</v>
      </c>
      <c r="AZ2" s="3" t="s">
        <v>79</v>
      </c>
      <c r="BA2" s="3" t="s">
        <v>79</v>
      </c>
      <c r="BB2" s="3" t="s">
        <v>79</v>
      </c>
      <c r="BC2" s="3" t="s">
        <v>79</v>
      </c>
      <c r="BD2" s="3" t="s">
        <v>79</v>
      </c>
      <c r="BE2" s="3">
        <v>763.0</v>
      </c>
      <c r="BF2" s="3">
        <v>767.0</v>
      </c>
      <c r="BG2" s="3" t="s">
        <v>79</v>
      </c>
      <c r="BH2" s="3" t="s">
        <v>79</v>
      </c>
      <c r="BI2" s="3" t="s">
        <v>79</v>
      </c>
      <c r="BJ2" s="3" t="s">
        <v>79</v>
      </c>
      <c r="BK2" s="3" t="s">
        <v>79</v>
      </c>
      <c r="BL2" s="3" t="s">
        <v>79</v>
      </c>
      <c r="BM2" s="3" t="s">
        <v>79</v>
      </c>
      <c r="BN2" s="3" t="s">
        <v>79</v>
      </c>
      <c r="BO2" s="3" t="s">
        <v>94</v>
      </c>
      <c r="BP2" s="3" t="s">
        <v>79</v>
      </c>
      <c r="BQ2" s="3" t="s">
        <v>79</v>
      </c>
      <c r="BR2" s="3" t="s">
        <v>79</v>
      </c>
      <c r="BS2" s="3" t="s">
        <v>79</v>
      </c>
      <c r="BT2" s="3" t="s">
        <v>79</v>
      </c>
      <c r="BU2" s="3" t="s">
        <v>95</v>
      </c>
      <c r="BV2" s="3" t="s">
        <v>96</v>
      </c>
      <c r="BW2" s="3" t="str">
        <f>HYPERLINK("https%3A%2F%2Fwww.webofscience.com%2Fwos%2Fwoscc%2Ffull-record%2FWOS:000425928100137","View Full Record in Web of Science")</f>
        <v>View Full Record in Web of Science</v>
      </c>
    </row>
    <row r="3" ht="12.75" customHeight="1">
      <c r="A3" s="5" t="s">
        <v>75</v>
      </c>
      <c r="B3" s="7"/>
      <c r="C3" s="5">
        <v>8.0</v>
      </c>
      <c r="D3" s="3" t="s">
        <v>77</v>
      </c>
      <c r="E3" s="3" t="s">
        <v>97</v>
      </c>
      <c r="F3" s="3" t="s">
        <v>79</v>
      </c>
      <c r="G3" s="3" t="s">
        <v>79</v>
      </c>
      <c r="H3" s="3" t="s">
        <v>80</v>
      </c>
      <c r="I3" s="3" t="s">
        <v>98</v>
      </c>
      <c r="J3" s="3" t="s">
        <v>79</v>
      </c>
      <c r="K3" s="3" t="s">
        <v>79</v>
      </c>
      <c r="L3" s="3" t="s">
        <v>99</v>
      </c>
      <c r="M3" s="3" t="s">
        <v>100</v>
      </c>
      <c r="N3" s="3" t="s">
        <v>79</v>
      </c>
      <c r="O3" s="3" t="s">
        <v>79</v>
      </c>
      <c r="P3" s="3" t="s">
        <v>79</v>
      </c>
      <c r="Q3" s="3" t="s">
        <v>84</v>
      </c>
      <c r="R3" s="3" t="s">
        <v>79</v>
      </c>
      <c r="S3" s="3" t="s">
        <v>79</v>
      </c>
      <c r="T3" s="3" t="s">
        <v>79</v>
      </c>
      <c r="U3" s="3" t="s">
        <v>79</v>
      </c>
      <c r="V3" s="3" t="s">
        <v>79</v>
      </c>
      <c r="W3" s="3" t="s">
        <v>79</v>
      </c>
      <c r="X3" s="3" t="s">
        <v>101</v>
      </c>
      <c r="Y3" s="3" t="s">
        <v>102</v>
      </c>
      <c r="Z3" s="3" t="s">
        <v>103</v>
      </c>
      <c r="AA3" s="3" t="s">
        <v>104</v>
      </c>
      <c r="AB3" s="3" t="s">
        <v>105</v>
      </c>
      <c r="AC3" s="3" t="s">
        <v>106</v>
      </c>
      <c r="AD3" s="3" t="s">
        <v>107</v>
      </c>
      <c r="AE3" s="3" t="s">
        <v>79</v>
      </c>
      <c r="AF3" s="3" t="s">
        <v>79</v>
      </c>
      <c r="AG3" s="3" t="s">
        <v>79</v>
      </c>
      <c r="AH3" s="3" t="s">
        <v>79</v>
      </c>
      <c r="AI3" s="3" t="s">
        <v>79</v>
      </c>
      <c r="AJ3" s="3">
        <v>26.0</v>
      </c>
      <c r="AK3" s="3">
        <v>0.0</v>
      </c>
      <c r="AL3" s="3">
        <v>0.0</v>
      </c>
      <c r="AM3" s="3" t="s">
        <v>79</v>
      </c>
      <c r="AN3" s="3" t="s">
        <v>79</v>
      </c>
      <c r="AO3" s="3" t="s">
        <v>79</v>
      </c>
      <c r="AP3" s="3" t="s">
        <v>79</v>
      </c>
      <c r="AQ3" s="3" t="s">
        <v>79</v>
      </c>
      <c r="AR3" s="3" t="s">
        <v>79</v>
      </c>
      <c r="AS3" s="3" t="s">
        <v>79</v>
      </c>
      <c r="AT3" s="3" t="s">
        <v>79</v>
      </c>
      <c r="AU3" s="3" t="s">
        <v>79</v>
      </c>
      <c r="AV3" s="3" t="s">
        <v>79</v>
      </c>
      <c r="AW3" s="3" t="s">
        <v>79</v>
      </c>
      <c r="AX3" s="3">
        <v>2024.0</v>
      </c>
      <c r="AY3" s="3" t="s">
        <v>79</v>
      </c>
      <c r="AZ3" s="3" t="s">
        <v>79</v>
      </c>
      <c r="BA3" s="3" t="s">
        <v>79</v>
      </c>
      <c r="BB3" s="3" t="s">
        <v>79</v>
      </c>
      <c r="BC3" s="3" t="s">
        <v>79</v>
      </c>
      <c r="BD3" s="3" t="s">
        <v>79</v>
      </c>
      <c r="BE3" s="3">
        <v>209.0</v>
      </c>
      <c r="BF3" s="3">
        <v>214.0</v>
      </c>
      <c r="BG3" s="3" t="s">
        <v>79</v>
      </c>
      <c r="BH3" s="3" t="s">
        <v>108</v>
      </c>
      <c r="BI3" s="8" t="str">
        <f>HYPERLINK("http://dx.doi.org/10.1109/I-CREATE62067.2024.10776552","http://dx.doi.org/10.1109/I-CREATE62067.2024.10776552")</f>
        <v>http://dx.doi.org/10.1109/I-CREATE62067.2024.10776552</v>
      </c>
      <c r="BJ3" s="3" t="s">
        <v>79</v>
      </c>
      <c r="BK3" s="3" t="s">
        <v>79</v>
      </c>
      <c r="BL3" s="3" t="s">
        <v>79</v>
      </c>
      <c r="BM3" s="3" t="s">
        <v>79</v>
      </c>
      <c r="BN3" s="3" t="s">
        <v>79</v>
      </c>
      <c r="BO3" s="3" t="s">
        <v>109</v>
      </c>
      <c r="BP3" s="3" t="s">
        <v>79</v>
      </c>
      <c r="BQ3" s="3" t="s">
        <v>79</v>
      </c>
      <c r="BR3" s="3" t="s">
        <v>79</v>
      </c>
      <c r="BS3" s="3" t="s">
        <v>79</v>
      </c>
      <c r="BT3" s="3" t="s">
        <v>79</v>
      </c>
      <c r="BU3" s="3" t="s">
        <v>95</v>
      </c>
      <c r="BV3" s="3" t="s">
        <v>110</v>
      </c>
      <c r="BW3" s="3" t="str">
        <f>HYPERLINK("https%3A%2F%2Fwww.webofscience.com%2Fwos%2Fwoscc%2Ffull-record%2FWOS:001445884200040","View Full Record in Web of Science")</f>
        <v>View Full Record in Web of Science</v>
      </c>
    </row>
    <row r="4" ht="12.75" customHeight="1">
      <c r="A4" s="5" t="s">
        <v>75</v>
      </c>
      <c r="B4" s="7"/>
      <c r="C4" s="5">
        <v>9.0</v>
      </c>
      <c r="D4" s="3" t="s">
        <v>77</v>
      </c>
      <c r="E4" s="3" t="s">
        <v>111</v>
      </c>
      <c r="F4" s="3" t="s">
        <v>79</v>
      </c>
      <c r="G4" s="3" t="s">
        <v>79</v>
      </c>
      <c r="H4" s="3" t="s">
        <v>80</v>
      </c>
      <c r="I4" s="3" t="s">
        <v>112</v>
      </c>
      <c r="J4" s="3" t="s">
        <v>79</v>
      </c>
      <c r="K4" s="3" t="s">
        <v>79</v>
      </c>
      <c r="L4" s="3" t="s">
        <v>113</v>
      </c>
      <c r="M4" s="3" t="s">
        <v>114</v>
      </c>
      <c r="N4" s="3" t="s">
        <v>115</v>
      </c>
      <c r="O4" s="3" t="s">
        <v>79</v>
      </c>
      <c r="P4" s="3" t="s">
        <v>79</v>
      </c>
      <c r="Q4" s="3" t="s">
        <v>84</v>
      </c>
      <c r="R4" s="3" t="s">
        <v>79</v>
      </c>
      <c r="S4" s="3" t="s">
        <v>79</v>
      </c>
      <c r="T4" s="3" t="s">
        <v>79</v>
      </c>
      <c r="U4" s="3" t="s">
        <v>79</v>
      </c>
      <c r="V4" s="3" t="s">
        <v>79</v>
      </c>
      <c r="W4" s="3" t="s">
        <v>116</v>
      </c>
      <c r="X4" s="3" t="s">
        <v>79</v>
      </c>
      <c r="Y4" s="3" t="s">
        <v>117</v>
      </c>
      <c r="Z4" s="3" t="s">
        <v>118</v>
      </c>
      <c r="AA4" s="3" t="s">
        <v>119</v>
      </c>
      <c r="AB4" s="3" t="s">
        <v>120</v>
      </c>
      <c r="AC4" s="3" t="s">
        <v>121</v>
      </c>
      <c r="AD4" s="3" t="s">
        <v>122</v>
      </c>
      <c r="AE4" s="3" t="s">
        <v>123</v>
      </c>
      <c r="AF4" s="3" t="s">
        <v>79</v>
      </c>
      <c r="AG4" s="3" t="s">
        <v>79</v>
      </c>
      <c r="AH4" s="3" t="s">
        <v>79</v>
      </c>
      <c r="AI4" s="3" t="s">
        <v>79</v>
      </c>
      <c r="AJ4" s="3">
        <v>17.0</v>
      </c>
      <c r="AK4" s="3">
        <v>6.0</v>
      </c>
      <c r="AL4" s="3">
        <v>7.0</v>
      </c>
      <c r="AM4" s="3" t="s">
        <v>79</v>
      </c>
      <c r="AN4" s="3" t="s">
        <v>79</v>
      </c>
      <c r="AO4" s="3" t="s">
        <v>79</v>
      </c>
      <c r="AP4" s="3" t="s">
        <v>79</v>
      </c>
      <c r="AQ4" s="3" t="s">
        <v>79</v>
      </c>
      <c r="AR4" s="3" t="s">
        <v>79</v>
      </c>
      <c r="AS4" s="3" t="s">
        <v>79</v>
      </c>
      <c r="AT4" s="3" t="s">
        <v>79</v>
      </c>
      <c r="AU4" s="3" t="s">
        <v>79</v>
      </c>
      <c r="AV4" s="3" t="s">
        <v>79</v>
      </c>
      <c r="AW4" s="3" t="s">
        <v>79</v>
      </c>
      <c r="AX4" s="3">
        <v>2020.0</v>
      </c>
      <c r="AY4" s="3" t="s">
        <v>79</v>
      </c>
      <c r="AZ4" s="3" t="s">
        <v>79</v>
      </c>
      <c r="BA4" s="3" t="s">
        <v>79</v>
      </c>
      <c r="BB4" s="3" t="s">
        <v>79</v>
      </c>
      <c r="BC4" s="3" t="s">
        <v>79</v>
      </c>
      <c r="BD4" s="3" t="s">
        <v>79</v>
      </c>
      <c r="BE4" s="3" t="s">
        <v>79</v>
      </c>
      <c r="BF4" s="3" t="s">
        <v>79</v>
      </c>
      <c r="BG4" s="3" t="s">
        <v>79</v>
      </c>
      <c r="BH4" s="3" t="s">
        <v>124</v>
      </c>
      <c r="BI4" s="8" t="str">
        <f>HYPERLINK("http://dx.doi.org/10.1109/ehb50910.2020.9280257","http://dx.doi.org/10.1109/ehb50910.2020.9280257")</f>
        <v>http://dx.doi.org/10.1109/ehb50910.2020.9280257</v>
      </c>
      <c r="BJ4" s="3" t="s">
        <v>79</v>
      </c>
      <c r="BK4" s="3" t="s">
        <v>79</v>
      </c>
      <c r="BL4" s="3" t="s">
        <v>79</v>
      </c>
      <c r="BM4" s="3" t="s">
        <v>79</v>
      </c>
      <c r="BN4" s="3" t="s">
        <v>79</v>
      </c>
      <c r="BO4" s="3" t="s">
        <v>125</v>
      </c>
      <c r="BP4" s="3" t="s">
        <v>79</v>
      </c>
      <c r="BQ4" s="3" t="s">
        <v>79</v>
      </c>
      <c r="BR4" s="3" t="s">
        <v>79</v>
      </c>
      <c r="BS4" s="3" t="s">
        <v>79</v>
      </c>
      <c r="BT4" s="3" t="s">
        <v>79</v>
      </c>
      <c r="BU4" s="3" t="s">
        <v>95</v>
      </c>
      <c r="BV4" s="3" t="s">
        <v>126</v>
      </c>
      <c r="BW4" s="3" t="str">
        <f>HYPERLINK("https%3A%2F%2Fwww.webofscience.com%2Fwos%2Fwoscc%2Ffull-record%2FWOS:000646194100126","View Full Record in Web of Science")</f>
        <v>View Full Record in Web of Science</v>
      </c>
    </row>
    <row r="5" ht="12.75" customHeight="1">
      <c r="A5" s="5" t="s">
        <v>75</v>
      </c>
      <c r="B5" s="7"/>
      <c r="C5" s="5">
        <v>7.0</v>
      </c>
      <c r="D5" s="3" t="s">
        <v>77</v>
      </c>
      <c r="E5" s="3" t="s">
        <v>127</v>
      </c>
      <c r="F5" s="3" t="s">
        <v>79</v>
      </c>
      <c r="G5" s="3" t="s">
        <v>79</v>
      </c>
      <c r="H5" s="3" t="s">
        <v>80</v>
      </c>
      <c r="I5" s="3" t="s">
        <v>128</v>
      </c>
      <c r="J5" s="3" t="s">
        <v>79</v>
      </c>
      <c r="K5" s="3" t="s">
        <v>79</v>
      </c>
      <c r="L5" s="3" t="s">
        <v>129</v>
      </c>
      <c r="M5" s="3" t="s">
        <v>130</v>
      </c>
      <c r="N5" s="3" t="s">
        <v>79</v>
      </c>
      <c r="O5" s="3" t="s">
        <v>79</v>
      </c>
      <c r="P5" s="3" t="s">
        <v>79</v>
      </c>
      <c r="Q5" s="3" t="s">
        <v>84</v>
      </c>
      <c r="R5" s="3" t="s">
        <v>79</v>
      </c>
      <c r="S5" s="3" t="s">
        <v>79</v>
      </c>
      <c r="T5" s="3" t="s">
        <v>79</v>
      </c>
      <c r="U5" s="3" t="s">
        <v>79</v>
      </c>
      <c r="V5" s="3" t="s">
        <v>79</v>
      </c>
      <c r="W5" s="3" t="s">
        <v>131</v>
      </c>
      <c r="X5" s="3" t="s">
        <v>79</v>
      </c>
      <c r="Y5" s="3" t="s">
        <v>132</v>
      </c>
      <c r="Z5" s="3" t="s">
        <v>133</v>
      </c>
      <c r="AA5" s="3" t="s">
        <v>134</v>
      </c>
      <c r="AB5" s="3" t="s">
        <v>135</v>
      </c>
      <c r="AC5" s="3" t="s">
        <v>136</v>
      </c>
      <c r="AD5" s="3" t="s">
        <v>137</v>
      </c>
      <c r="AE5" s="3" t="s">
        <v>138</v>
      </c>
      <c r="AF5" s="3" t="s">
        <v>79</v>
      </c>
      <c r="AG5" s="3" t="s">
        <v>79</v>
      </c>
      <c r="AH5" s="3" t="s">
        <v>79</v>
      </c>
      <c r="AI5" s="3" t="s">
        <v>79</v>
      </c>
      <c r="AJ5" s="3">
        <v>11.0</v>
      </c>
      <c r="AK5" s="3">
        <v>5.0</v>
      </c>
      <c r="AL5" s="3">
        <v>5.0</v>
      </c>
      <c r="AM5" s="3" t="s">
        <v>79</v>
      </c>
      <c r="AN5" s="3" t="s">
        <v>79</v>
      </c>
      <c r="AO5" s="3" t="s">
        <v>79</v>
      </c>
      <c r="AP5" s="3" t="s">
        <v>79</v>
      </c>
      <c r="AQ5" s="3" t="s">
        <v>79</v>
      </c>
      <c r="AR5" s="3" t="s">
        <v>79</v>
      </c>
      <c r="AS5" s="3" t="s">
        <v>79</v>
      </c>
      <c r="AT5" s="3" t="s">
        <v>79</v>
      </c>
      <c r="AU5" s="3" t="s">
        <v>79</v>
      </c>
      <c r="AV5" s="3" t="s">
        <v>79</v>
      </c>
      <c r="AW5" s="3" t="s">
        <v>79</v>
      </c>
      <c r="AX5" s="3">
        <v>2016.0</v>
      </c>
      <c r="AY5" s="3" t="s">
        <v>79</v>
      </c>
      <c r="AZ5" s="3" t="s">
        <v>79</v>
      </c>
      <c r="BA5" s="3" t="s">
        <v>79</v>
      </c>
      <c r="BB5" s="3" t="s">
        <v>79</v>
      </c>
      <c r="BC5" s="3" t="s">
        <v>79</v>
      </c>
      <c r="BD5" s="3" t="s">
        <v>79</v>
      </c>
      <c r="BE5" s="3" t="s">
        <v>79</v>
      </c>
      <c r="BF5" s="3" t="s">
        <v>79</v>
      </c>
      <c r="BG5" s="3" t="s">
        <v>79</v>
      </c>
      <c r="BH5" s="3" t="s">
        <v>79</v>
      </c>
      <c r="BI5" s="3" t="s">
        <v>79</v>
      </c>
      <c r="BJ5" s="3" t="s">
        <v>79</v>
      </c>
      <c r="BK5" s="3" t="s">
        <v>79</v>
      </c>
      <c r="BL5" s="3" t="s">
        <v>79</v>
      </c>
      <c r="BM5" s="3" t="s">
        <v>79</v>
      </c>
      <c r="BN5" s="3" t="s">
        <v>79</v>
      </c>
      <c r="BO5" s="3" t="s">
        <v>139</v>
      </c>
      <c r="BP5" s="3" t="s">
        <v>79</v>
      </c>
      <c r="BQ5" s="3" t="s">
        <v>79</v>
      </c>
      <c r="BR5" s="3" t="s">
        <v>79</v>
      </c>
      <c r="BS5" s="3" t="s">
        <v>79</v>
      </c>
      <c r="BT5" s="3" t="s">
        <v>79</v>
      </c>
      <c r="BU5" s="3" t="s">
        <v>95</v>
      </c>
      <c r="BV5" s="3" t="s">
        <v>140</v>
      </c>
      <c r="BW5" s="3" t="str">
        <f>HYPERLINK("https%3A%2F%2Fwww.webofscience.com%2Fwos%2Fwoscc%2Ffull-record%2FWOS:000405375600147","View Full Record in Web of Science")</f>
        <v>View Full Record in Web of Science</v>
      </c>
    </row>
    <row r="6" ht="12.75" customHeight="1">
      <c r="A6" s="5" t="s">
        <v>75</v>
      </c>
      <c r="B6" s="7"/>
      <c r="C6" s="5">
        <v>7.0</v>
      </c>
      <c r="D6" s="3" t="s">
        <v>77</v>
      </c>
      <c r="E6" s="3" t="s">
        <v>141</v>
      </c>
      <c r="F6" s="3" t="s">
        <v>79</v>
      </c>
      <c r="G6" s="3" t="s">
        <v>79</v>
      </c>
      <c r="H6" s="3" t="s">
        <v>80</v>
      </c>
      <c r="I6" s="3" t="s">
        <v>142</v>
      </c>
      <c r="J6" s="3" t="s">
        <v>79</v>
      </c>
      <c r="K6" s="3" t="s">
        <v>79</v>
      </c>
      <c r="L6" s="3" t="s">
        <v>143</v>
      </c>
      <c r="M6" s="3" t="s">
        <v>144</v>
      </c>
      <c r="N6" s="3" t="s">
        <v>145</v>
      </c>
      <c r="O6" s="3" t="s">
        <v>79</v>
      </c>
      <c r="P6" s="3" t="s">
        <v>79</v>
      </c>
      <c r="Q6" s="3" t="s">
        <v>84</v>
      </c>
      <c r="R6" s="3" t="s">
        <v>79</v>
      </c>
      <c r="S6" s="3" t="s">
        <v>79</v>
      </c>
      <c r="T6" s="3" t="s">
        <v>79</v>
      </c>
      <c r="U6" s="3" t="s">
        <v>79</v>
      </c>
      <c r="V6" s="3" t="s">
        <v>79</v>
      </c>
      <c r="W6" s="3" t="s">
        <v>146</v>
      </c>
      <c r="X6" s="3" t="s">
        <v>79</v>
      </c>
      <c r="Y6" s="3" t="s">
        <v>147</v>
      </c>
      <c r="Z6" s="3" t="s">
        <v>148</v>
      </c>
      <c r="AA6" s="3" t="s">
        <v>149</v>
      </c>
      <c r="AB6" s="3" t="s">
        <v>150</v>
      </c>
      <c r="AC6" s="3" t="s">
        <v>151</v>
      </c>
      <c r="AD6" s="3" t="s">
        <v>79</v>
      </c>
      <c r="AE6" s="3" t="s">
        <v>79</v>
      </c>
      <c r="AF6" s="3" t="s">
        <v>79</v>
      </c>
      <c r="AG6" s="3" t="s">
        <v>79</v>
      </c>
      <c r="AH6" s="3" t="s">
        <v>79</v>
      </c>
      <c r="AI6" s="3" t="s">
        <v>79</v>
      </c>
      <c r="AJ6" s="3">
        <v>11.0</v>
      </c>
      <c r="AK6" s="3">
        <v>3.0</v>
      </c>
      <c r="AL6" s="3">
        <v>3.0</v>
      </c>
      <c r="AM6" s="3" t="s">
        <v>79</v>
      </c>
      <c r="AN6" s="3" t="s">
        <v>79</v>
      </c>
      <c r="AO6" s="3" t="s">
        <v>79</v>
      </c>
      <c r="AP6" s="3" t="s">
        <v>79</v>
      </c>
      <c r="AQ6" s="3" t="s">
        <v>79</v>
      </c>
      <c r="AR6" s="3" t="s">
        <v>79</v>
      </c>
      <c r="AS6" s="3" t="s">
        <v>79</v>
      </c>
      <c r="AT6" s="3" t="s">
        <v>79</v>
      </c>
      <c r="AU6" s="3" t="s">
        <v>79</v>
      </c>
      <c r="AV6" s="3" t="s">
        <v>79</v>
      </c>
      <c r="AW6" s="3" t="s">
        <v>79</v>
      </c>
      <c r="AX6" s="3">
        <v>2019.0</v>
      </c>
      <c r="AY6" s="3" t="s">
        <v>79</v>
      </c>
      <c r="AZ6" s="3" t="s">
        <v>79</v>
      </c>
      <c r="BA6" s="3" t="s">
        <v>79</v>
      </c>
      <c r="BB6" s="3" t="s">
        <v>79</v>
      </c>
      <c r="BC6" s="3" t="s">
        <v>79</v>
      </c>
      <c r="BD6" s="3" t="s">
        <v>79</v>
      </c>
      <c r="BE6" s="3" t="s">
        <v>79</v>
      </c>
      <c r="BF6" s="3" t="s">
        <v>79</v>
      </c>
      <c r="BG6" s="3" t="s">
        <v>79</v>
      </c>
      <c r="BH6" s="3" t="s">
        <v>79</v>
      </c>
      <c r="BI6" s="3" t="s">
        <v>79</v>
      </c>
      <c r="BJ6" s="3" t="s">
        <v>79</v>
      </c>
      <c r="BK6" s="3" t="s">
        <v>79</v>
      </c>
      <c r="BL6" s="3" t="s">
        <v>79</v>
      </c>
      <c r="BM6" s="3" t="s">
        <v>79</v>
      </c>
      <c r="BN6" s="3" t="s">
        <v>79</v>
      </c>
      <c r="BO6" s="3" t="s">
        <v>152</v>
      </c>
      <c r="BP6" s="3" t="s">
        <v>79</v>
      </c>
      <c r="BQ6" s="3" t="s">
        <v>79</v>
      </c>
      <c r="BR6" s="3" t="s">
        <v>79</v>
      </c>
      <c r="BS6" s="3" t="s">
        <v>79</v>
      </c>
      <c r="BT6" s="3" t="s">
        <v>79</v>
      </c>
      <c r="BU6" s="3" t="s">
        <v>95</v>
      </c>
      <c r="BV6" s="3" t="s">
        <v>153</v>
      </c>
      <c r="BW6" s="3" t="str">
        <f>HYPERLINK("https%3A%2F%2Fwww.webofscience.com%2Fwos%2Fwoscc%2Ffull-record%2FWOS:000569754800081","View Full Record in Web of Science")</f>
        <v>View Full Record in Web of Science</v>
      </c>
    </row>
    <row r="7" ht="12.75" customHeight="1">
      <c r="A7" s="5" t="s">
        <v>75</v>
      </c>
      <c r="B7" s="7"/>
      <c r="C7" s="5">
        <v>10.0</v>
      </c>
      <c r="D7" s="3" t="s">
        <v>77</v>
      </c>
      <c r="E7" s="3" t="s">
        <v>154</v>
      </c>
      <c r="F7" s="3" t="s">
        <v>79</v>
      </c>
      <c r="G7" s="3" t="s">
        <v>79</v>
      </c>
      <c r="H7" s="3" t="s">
        <v>80</v>
      </c>
      <c r="I7" s="3" t="s">
        <v>155</v>
      </c>
      <c r="J7" s="3" t="s">
        <v>79</v>
      </c>
      <c r="K7" s="3" t="s">
        <v>79</v>
      </c>
      <c r="L7" s="3" t="s">
        <v>156</v>
      </c>
      <c r="M7" s="3" t="s">
        <v>157</v>
      </c>
      <c r="N7" s="3" t="s">
        <v>158</v>
      </c>
      <c r="O7" s="3" t="s">
        <v>79</v>
      </c>
      <c r="P7" s="3" t="s">
        <v>79</v>
      </c>
      <c r="Q7" s="3" t="s">
        <v>84</v>
      </c>
      <c r="R7" s="3" t="s">
        <v>79</v>
      </c>
      <c r="S7" s="3" t="s">
        <v>79</v>
      </c>
      <c r="T7" s="3" t="s">
        <v>79</v>
      </c>
      <c r="U7" s="3" t="s">
        <v>79</v>
      </c>
      <c r="V7" s="3" t="s">
        <v>79</v>
      </c>
      <c r="W7" s="3" t="s">
        <v>159</v>
      </c>
      <c r="X7" s="3" t="s">
        <v>79</v>
      </c>
      <c r="Y7" s="3" t="s">
        <v>160</v>
      </c>
      <c r="Z7" s="3" t="s">
        <v>161</v>
      </c>
      <c r="AA7" s="3" t="s">
        <v>162</v>
      </c>
      <c r="AB7" s="3" t="s">
        <v>163</v>
      </c>
      <c r="AC7" s="3" t="s">
        <v>164</v>
      </c>
      <c r="AD7" s="3" t="s">
        <v>165</v>
      </c>
      <c r="AE7" s="3" t="s">
        <v>166</v>
      </c>
      <c r="AF7" s="3" t="s">
        <v>79</v>
      </c>
      <c r="AG7" s="3" t="s">
        <v>79</v>
      </c>
      <c r="AH7" s="3" t="s">
        <v>79</v>
      </c>
      <c r="AI7" s="3" t="s">
        <v>79</v>
      </c>
      <c r="AJ7" s="3">
        <v>13.0</v>
      </c>
      <c r="AK7" s="3">
        <v>1.0</v>
      </c>
      <c r="AL7" s="3">
        <v>1.0</v>
      </c>
      <c r="AM7" s="3" t="s">
        <v>79</v>
      </c>
      <c r="AN7" s="3" t="s">
        <v>79</v>
      </c>
      <c r="AO7" s="3" t="s">
        <v>79</v>
      </c>
      <c r="AP7" s="3" t="s">
        <v>79</v>
      </c>
      <c r="AQ7" s="3" t="s">
        <v>79</v>
      </c>
      <c r="AR7" s="3" t="s">
        <v>79</v>
      </c>
      <c r="AS7" s="3" t="s">
        <v>79</v>
      </c>
      <c r="AT7" s="3" t="s">
        <v>79</v>
      </c>
      <c r="AU7" s="3" t="s">
        <v>79</v>
      </c>
      <c r="AV7" s="3" t="s">
        <v>79</v>
      </c>
      <c r="AW7" s="3" t="s">
        <v>79</v>
      </c>
      <c r="AX7" s="3">
        <v>2019.0</v>
      </c>
      <c r="AY7" s="3" t="s">
        <v>79</v>
      </c>
      <c r="AZ7" s="3" t="s">
        <v>79</v>
      </c>
      <c r="BA7" s="3" t="s">
        <v>79</v>
      </c>
      <c r="BB7" s="3" t="s">
        <v>79</v>
      </c>
      <c r="BC7" s="3" t="s">
        <v>79</v>
      </c>
      <c r="BD7" s="3" t="s">
        <v>79</v>
      </c>
      <c r="BE7" s="3">
        <v>216.0</v>
      </c>
      <c r="BF7" s="3">
        <v>220.0</v>
      </c>
      <c r="BG7" s="3" t="s">
        <v>79</v>
      </c>
      <c r="BH7" s="3" t="s">
        <v>167</v>
      </c>
      <c r="BI7" s="8" t="str">
        <f>HYPERLINK("http://dx.doi.org/10.1109/iww-bci.2019.8737258","http://dx.doi.org/10.1109/iww-bci.2019.8737258")</f>
        <v>http://dx.doi.org/10.1109/iww-bci.2019.8737258</v>
      </c>
      <c r="BJ7" s="3" t="s">
        <v>79</v>
      </c>
      <c r="BK7" s="3" t="s">
        <v>79</v>
      </c>
      <c r="BL7" s="3" t="s">
        <v>79</v>
      </c>
      <c r="BM7" s="3" t="s">
        <v>79</v>
      </c>
      <c r="BN7" s="3" t="s">
        <v>79</v>
      </c>
      <c r="BO7" s="3" t="s">
        <v>168</v>
      </c>
      <c r="BP7" s="3" t="s">
        <v>79</v>
      </c>
      <c r="BQ7" s="3" t="s">
        <v>79</v>
      </c>
      <c r="BR7" s="3" t="s">
        <v>79</v>
      </c>
      <c r="BS7" s="3" t="s">
        <v>79</v>
      </c>
      <c r="BT7" s="3" t="s">
        <v>79</v>
      </c>
      <c r="BU7" s="3" t="s">
        <v>95</v>
      </c>
      <c r="BV7" s="3" t="s">
        <v>169</v>
      </c>
      <c r="BW7" s="3" t="str">
        <f>HYPERLINK("https%3A%2F%2Fwww.webofscience.com%2Fwos%2Fwoscc%2Ffull-record%2FWOS:000492868700050","View Full Record in Web of Science")</f>
        <v>View Full Record in Web of Science</v>
      </c>
    </row>
    <row r="8" ht="12.75" customHeight="1">
      <c r="A8" s="5" t="s">
        <v>75</v>
      </c>
      <c r="B8" s="7"/>
      <c r="C8" s="5">
        <v>0.0</v>
      </c>
      <c r="D8" s="3" t="s">
        <v>77</v>
      </c>
      <c r="E8" s="3" t="s">
        <v>170</v>
      </c>
      <c r="F8" s="3" t="s">
        <v>79</v>
      </c>
      <c r="G8" s="3" t="s">
        <v>79</v>
      </c>
      <c r="H8" s="3" t="s">
        <v>80</v>
      </c>
      <c r="I8" s="3" t="s">
        <v>171</v>
      </c>
      <c r="J8" s="3" t="s">
        <v>79</v>
      </c>
      <c r="K8" s="3" t="s">
        <v>79</v>
      </c>
      <c r="L8" s="3" t="s">
        <v>172</v>
      </c>
      <c r="M8" s="3" t="s">
        <v>173</v>
      </c>
      <c r="N8" s="3" t="s">
        <v>79</v>
      </c>
      <c r="O8" s="3" t="s">
        <v>79</v>
      </c>
      <c r="P8" s="3" t="s">
        <v>79</v>
      </c>
      <c r="Q8" s="3" t="s">
        <v>84</v>
      </c>
      <c r="R8" s="3" t="s">
        <v>79</v>
      </c>
      <c r="S8" s="3" t="s">
        <v>79</v>
      </c>
      <c r="T8" s="3" t="s">
        <v>79</v>
      </c>
      <c r="U8" s="3" t="s">
        <v>79</v>
      </c>
      <c r="V8" s="3" t="s">
        <v>79</v>
      </c>
      <c r="W8" s="3" t="s">
        <v>174</v>
      </c>
      <c r="X8" s="3" t="s">
        <v>175</v>
      </c>
      <c r="Y8" s="3" t="s">
        <v>176</v>
      </c>
      <c r="Z8" s="3" t="s">
        <v>177</v>
      </c>
      <c r="AA8" s="3" t="s">
        <v>178</v>
      </c>
      <c r="AB8" s="3" t="s">
        <v>179</v>
      </c>
      <c r="AC8" s="3" t="s">
        <v>180</v>
      </c>
      <c r="AD8" s="3" t="s">
        <v>181</v>
      </c>
      <c r="AE8" s="3" t="s">
        <v>182</v>
      </c>
      <c r="AF8" s="3" t="s">
        <v>79</v>
      </c>
      <c r="AG8" s="3" t="s">
        <v>79</v>
      </c>
      <c r="AH8" s="3" t="s">
        <v>79</v>
      </c>
      <c r="AI8" s="3" t="s">
        <v>79</v>
      </c>
      <c r="AJ8" s="3">
        <v>57.0</v>
      </c>
      <c r="AK8" s="3">
        <v>22.0</v>
      </c>
      <c r="AL8" s="3">
        <v>27.0</v>
      </c>
      <c r="AM8" s="3" t="s">
        <v>79</v>
      </c>
      <c r="AN8" s="3" t="s">
        <v>79</v>
      </c>
      <c r="AO8" s="3" t="s">
        <v>79</v>
      </c>
      <c r="AP8" s="3" t="s">
        <v>79</v>
      </c>
      <c r="AQ8" s="3" t="s">
        <v>79</v>
      </c>
      <c r="AR8" s="3" t="s">
        <v>79</v>
      </c>
      <c r="AS8" s="3" t="s">
        <v>79</v>
      </c>
      <c r="AT8" s="3" t="s">
        <v>79</v>
      </c>
      <c r="AU8" s="3" t="s">
        <v>79</v>
      </c>
      <c r="AV8" s="3" t="s">
        <v>79</v>
      </c>
      <c r="AW8" s="3" t="s">
        <v>79</v>
      </c>
      <c r="AX8" s="3">
        <v>2015.0</v>
      </c>
      <c r="AY8" s="3" t="s">
        <v>79</v>
      </c>
      <c r="AZ8" s="3" t="s">
        <v>79</v>
      </c>
      <c r="BA8" s="3" t="s">
        <v>79</v>
      </c>
      <c r="BB8" s="3" t="s">
        <v>79</v>
      </c>
      <c r="BC8" s="3" t="s">
        <v>79</v>
      </c>
      <c r="BD8" s="3" t="s">
        <v>79</v>
      </c>
      <c r="BE8" s="3">
        <v>1177.0</v>
      </c>
      <c r="BF8" s="3">
        <v>1182.0</v>
      </c>
      <c r="BG8" s="3" t="s">
        <v>79</v>
      </c>
      <c r="BH8" s="3" t="s">
        <v>79</v>
      </c>
      <c r="BI8" s="3" t="s">
        <v>79</v>
      </c>
      <c r="BJ8" s="3" t="s">
        <v>79</v>
      </c>
      <c r="BK8" s="3" t="s">
        <v>79</v>
      </c>
      <c r="BL8" s="3" t="s">
        <v>79</v>
      </c>
      <c r="BM8" s="3" t="s">
        <v>79</v>
      </c>
      <c r="BN8" s="3" t="s">
        <v>79</v>
      </c>
      <c r="BO8" s="3" t="s">
        <v>183</v>
      </c>
      <c r="BP8" s="3" t="s">
        <v>79</v>
      </c>
      <c r="BQ8" s="3" t="s">
        <v>79</v>
      </c>
      <c r="BR8" s="3" t="s">
        <v>79</v>
      </c>
      <c r="BS8" s="3" t="s">
        <v>79</v>
      </c>
      <c r="BT8" s="3" t="s">
        <v>79</v>
      </c>
      <c r="BU8" s="3" t="s">
        <v>95</v>
      </c>
      <c r="BV8" s="3" t="s">
        <v>184</v>
      </c>
      <c r="BW8" s="3" t="str">
        <f>HYPERLINK("https%3A%2F%2Fwww.webofscience.com%2Fwos%2Fwoscc%2Ffull-record%2FWOS:000380615700136","View Full Record in Web of Science")</f>
        <v>View Full Record in Web of Science</v>
      </c>
    </row>
    <row r="9" ht="12.75" customHeight="1">
      <c r="A9" s="5" t="s">
        <v>75</v>
      </c>
      <c r="B9" s="7"/>
      <c r="C9" s="5">
        <v>0.0</v>
      </c>
      <c r="D9" s="3" t="s">
        <v>185</v>
      </c>
      <c r="E9" s="3" t="s">
        <v>186</v>
      </c>
      <c r="F9" s="3" t="s">
        <v>79</v>
      </c>
      <c r="G9" s="3" t="s">
        <v>79</v>
      </c>
      <c r="H9" s="3" t="s">
        <v>79</v>
      </c>
      <c r="I9" s="3" t="s">
        <v>187</v>
      </c>
      <c r="J9" s="3" t="s">
        <v>79</v>
      </c>
      <c r="K9" s="3" t="s">
        <v>79</v>
      </c>
      <c r="L9" s="3" t="s">
        <v>188</v>
      </c>
      <c r="M9" s="3" t="s">
        <v>189</v>
      </c>
      <c r="N9" s="3" t="s">
        <v>79</v>
      </c>
      <c r="O9" s="3" t="s">
        <v>79</v>
      </c>
      <c r="P9" s="3" t="s">
        <v>79</v>
      </c>
      <c r="Q9" s="3" t="s">
        <v>190</v>
      </c>
      <c r="R9" s="3" t="s">
        <v>79</v>
      </c>
      <c r="S9" s="3" t="s">
        <v>79</v>
      </c>
      <c r="T9" s="3" t="s">
        <v>79</v>
      </c>
      <c r="U9" s="3" t="s">
        <v>79</v>
      </c>
      <c r="V9" s="3" t="s">
        <v>79</v>
      </c>
      <c r="W9" s="3" t="s">
        <v>191</v>
      </c>
      <c r="X9" s="3" t="s">
        <v>192</v>
      </c>
      <c r="Y9" s="3" t="s">
        <v>193</v>
      </c>
      <c r="Z9" s="3" t="s">
        <v>194</v>
      </c>
      <c r="AA9" s="3" t="s">
        <v>195</v>
      </c>
      <c r="AB9" s="3" t="s">
        <v>196</v>
      </c>
      <c r="AC9" s="3" t="s">
        <v>197</v>
      </c>
      <c r="AD9" s="3" t="s">
        <v>198</v>
      </c>
      <c r="AE9" s="3" t="s">
        <v>199</v>
      </c>
      <c r="AF9" s="3" t="s">
        <v>79</v>
      </c>
      <c r="AG9" s="3" t="s">
        <v>79</v>
      </c>
      <c r="AH9" s="3" t="s">
        <v>79</v>
      </c>
      <c r="AI9" s="3" t="s">
        <v>79</v>
      </c>
      <c r="AJ9" s="3">
        <v>31.0</v>
      </c>
      <c r="AK9" s="3">
        <v>9.0</v>
      </c>
      <c r="AL9" s="3">
        <v>10.0</v>
      </c>
      <c r="AM9" s="3" t="s">
        <v>79</v>
      </c>
      <c r="AN9" s="3" t="s">
        <v>79</v>
      </c>
      <c r="AO9" s="3" t="s">
        <v>79</v>
      </c>
      <c r="AP9" s="3" t="s">
        <v>79</v>
      </c>
      <c r="AQ9" s="3" t="s">
        <v>79</v>
      </c>
      <c r="AR9" s="3" t="s">
        <v>79</v>
      </c>
      <c r="AS9" s="3" t="s">
        <v>79</v>
      </c>
      <c r="AT9" s="3" t="s">
        <v>79</v>
      </c>
      <c r="AU9" s="3" t="s">
        <v>79</v>
      </c>
      <c r="AV9" s="3" t="s">
        <v>79</v>
      </c>
      <c r="AW9" s="3" t="s">
        <v>200</v>
      </c>
      <c r="AX9" s="3">
        <v>2021.0</v>
      </c>
      <c r="AY9" s="3">
        <v>15.0</v>
      </c>
      <c r="AZ9" s="3" t="s">
        <v>79</v>
      </c>
      <c r="BA9" s="3" t="s">
        <v>79</v>
      </c>
      <c r="BB9" s="3" t="s">
        <v>79</v>
      </c>
      <c r="BC9" s="3" t="s">
        <v>79</v>
      </c>
      <c r="BD9" s="3" t="s">
        <v>79</v>
      </c>
      <c r="BE9" s="3" t="s">
        <v>79</v>
      </c>
      <c r="BF9" s="3" t="s">
        <v>79</v>
      </c>
      <c r="BG9" s="3">
        <v>774857.0</v>
      </c>
      <c r="BH9" s="3" t="s">
        <v>201</v>
      </c>
      <c r="BI9" s="8" t="str">
        <f>HYPERLINK("http://dx.doi.org/10.3389/fnins.2021.774857","http://dx.doi.org/10.3389/fnins.2021.774857")</f>
        <v>http://dx.doi.org/10.3389/fnins.2021.774857</v>
      </c>
      <c r="BJ9" s="3" t="s">
        <v>79</v>
      </c>
      <c r="BK9" s="3" t="s">
        <v>79</v>
      </c>
      <c r="BL9" s="3" t="s">
        <v>79</v>
      </c>
      <c r="BM9" s="3" t="s">
        <v>79</v>
      </c>
      <c r="BN9" s="3" t="s">
        <v>79</v>
      </c>
      <c r="BO9" s="3" t="s">
        <v>202</v>
      </c>
      <c r="BP9" s="3" t="s">
        <v>79</v>
      </c>
      <c r="BQ9" s="3" t="s">
        <v>79</v>
      </c>
      <c r="BR9" s="3" t="s">
        <v>79</v>
      </c>
      <c r="BS9" s="3" t="s">
        <v>79</v>
      </c>
      <c r="BT9" s="3" t="s">
        <v>79</v>
      </c>
      <c r="BU9" s="3" t="s">
        <v>95</v>
      </c>
      <c r="BV9" s="3" t="s">
        <v>203</v>
      </c>
      <c r="BW9" s="3" t="str">
        <f>HYPERLINK("https%3A%2F%2Fwww.webofscience.com%2Fwos%2Fwoscc%2Ffull-record%2FWOS:000726134500001","View Full Record in Web of Science")</f>
        <v>View Full Record in Web of Science</v>
      </c>
    </row>
    <row r="10" ht="12.75" customHeight="1">
      <c r="A10" s="5" t="s">
        <v>75</v>
      </c>
      <c r="B10" s="7"/>
      <c r="C10" s="5">
        <v>9.0</v>
      </c>
      <c r="D10" s="3" t="s">
        <v>185</v>
      </c>
      <c r="E10" s="3" t="s">
        <v>204</v>
      </c>
      <c r="F10" s="3" t="s">
        <v>79</v>
      </c>
      <c r="G10" s="3" t="s">
        <v>79</v>
      </c>
      <c r="H10" s="3" t="s">
        <v>79</v>
      </c>
      <c r="I10" s="3" t="s">
        <v>205</v>
      </c>
      <c r="J10" s="3" t="s">
        <v>79</v>
      </c>
      <c r="K10" s="3" t="s">
        <v>79</v>
      </c>
      <c r="L10" s="3" t="s">
        <v>206</v>
      </c>
      <c r="M10" s="3" t="s">
        <v>207</v>
      </c>
      <c r="N10" s="3" t="s">
        <v>79</v>
      </c>
      <c r="O10" s="3" t="s">
        <v>79</v>
      </c>
      <c r="P10" s="3" t="s">
        <v>79</v>
      </c>
      <c r="Q10" s="3" t="s">
        <v>190</v>
      </c>
      <c r="R10" s="3" t="s">
        <v>79</v>
      </c>
      <c r="S10" s="3" t="s">
        <v>79</v>
      </c>
      <c r="T10" s="3" t="s">
        <v>79</v>
      </c>
      <c r="U10" s="3" t="s">
        <v>79</v>
      </c>
      <c r="V10" s="3" t="s">
        <v>79</v>
      </c>
      <c r="W10" s="3" t="s">
        <v>208</v>
      </c>
      <c r="X10" s="3" t="s">
        <v>79</v>
      </c>
      <c r="Y10" s="3" t="s">
        <v>209</v>
      </c>
      <c r="Z10" s="3" t="s">
        <v>210</v>
      </c>
      <c r="AA10" s="3" t="s">
        <v>211</v>
      </c>
      <c r="AB10" s="3" t="s">
        <v>212</v>
      </c>
      <c r="AC10" s="3" t="s">
        <v>213</v>
      </c>
      <c r="AD10" s="3" t="s">
        <v>214</v>
      </c>
      <c r="AE10" s="3" t="s">
        <v>215</v>
      </c>
      <c r="AF10" s="3" t="s">
        <v>79</v>
      </c>
      <c r="AG10" s="3" t="s">
        <v>79</v>
      </c>
      <c r="AH10" s="3" t="s">
        <v>79</v>
      </c>
      <c r="AI10" s="3" t="s">
        <v>79</v>
      </c>
      <c r="AJ10" s="3">
        <v>17.0</v>
      </c>
      <c r="AK10" s="3">
        <v>22.0</v>
      </c>
      <c r="AL10" s="3">
        <v>23.0</v>
      </c>
      <c r="AM10" s="3" t="s">
        <v>79</v>
      </c>
      <c r="AN10" s="3" t="s">
        <v>79</v>
      </c>
      <c r="AO10" s="3" t="s">
        <v>79</v>
      </c>
      <c r="AP10" s="3" t="s">
        <v>79</v>
      </c>
      <c r="AQ10" s="3" t="s">
        <v>79</v>
      </c>
      <c r="AR10" s="3" t="s">
        <v>79</v>
      </c>
      <c r="AS10" s="3" t="s">
        <v>79</v>
      </c>
      <c r="AT10" s="3" t="s">
        <v>79</v>
      </c>
      <c r="AU10" s="3" t="s">
        <v>79</v>
      </c>
      <c r="AV10" s="3" t="s">
        <v>79</v>
      </c>
      <c r="AW10" s="3" t="s">
        <v>79</v>
      </c>
      <c r="AX10" s="3">
        <v>2019.0</v>
      </c>
      <c r="AY10" s="3">
        <v>7.0</v>
      </c>
      <c r="AZ10" s="3" t="s">
        <v>79</v>
      </c>
      <c r="BA10" s="3" t="s">
        <v>79</v>
      </c>
      <c r="BB10" s="3" t="s">
        <v>79</v>
      </c>
      <c r="BC10" s="3" t="s">
        <v>79</v>
      </c>
      <c r="BD10" s="3" t="s">
        <v>79</v>
      </c>
      <c r="BE10" s="3">
        <v>153842.0</v>
      </c>
      <c r="BF10" s="3">
        <v>153852.0</v>
      </c>
      <c r="BG10" s="3" t="s">
        <v>79</v>
      </c>
      <c r="BH10" s="3" t="s">
        <v>216</v>
      </c>
      <c r="BI10" s="8" t="str">
        <f>HYPERLINK("http://dx.doi.org/10.1109/ACCESS.2019.2948676","http://dx.doi.org/10.1109/ACCESS.2019.2948676")</f>
        <v>http://dx.doi.org/10.1109/ACCESS.2019.2948676</v>
      </c>
      <c r="BJ10" s="3" t="s">
        <v>79</v>
      </c>
      <c r="BK10" s="3" t="s">
        <v>79</v>
      </c>
      <c r="BL10" s="3" t="s">
        <v>79</v>
      </c>
      <c r="BM10" s="3" t="s">
        <v>79</v>
      </c>
      <c r="BN10" s="3" t="s">
        <v>79</v>
      </c>
      <c r="BO10" s="3" t="s">
        <v>217</v>
      </c>
      <c r="BP10" s="3" t="s">
        <v>79</v>
      </c>
      <c r="BQ10" s="3" t="s">
        <v>79</v>
      </c>
      <c r="BR10" s="3" t="s">
        <v>79</v>
      </c>
      <c r="BS10" s="3" t="s">
        <v>79</v>
      </c>
      <c r="BT10" s="3" t="s">
        <v>79</v>
      </c>
      <c r="BU10" s="3" t="s">
        <v>95</v>
      </c>
      <c r="BV10" s="3" t="s">
        <v>218</v>
      </c>
      <c r="BW10" s="3" t="str">
        <f>HYPERLINK("https%3A%2F%2Fwww.webofscience.com%2Fwos%2Fwoscc%2Ffull-record%2FWOS:000510255100002","View Full Record in Web of Science")</f>
        <v>View Full Record in Web of Science</v>
      </c>
    </row>
    <row r="11" ht="12.75" customHeight="1">
      <c r="A11" s="5" t="s">
        <v>75</v>
      </c>
      <c r="B11" s="7"/>
      <c r="C11" s="5">
        <v>2.0</v>
      </c>
      <c r="D11" s="3" t="s">
        <v>77</v>
      </c>
      <c r="E11" s="3" t="s">
        <v>219</v>
      </c>
      <c r="F11" s="3" t="s">
        <v>79</v>
      </c>
      <c r="G11" s="3" t="s">
        <v>79</v>
      </c>
      <c r="H11" s="3" t="s">
        <v>80</v>
      </c>
      <c r="I11" s="3" t="s">
        <v>220</v>
      </c>
      <c r="J11" s="3" t="s">
        <v>79</v>
      </c>
      <c r="K11" s="3" t="s">
        <v>79</v>
      </c>
      <c r="L11" s="3" t="s">
        <v>221</v>
      </c>
      <c r="M11" s="3" t="s">
        <v>222</v>
      </c>
      <c r="N11" s="3" t="s">
        <v>79</v>
      </c>
      <c r="O11" s="3" t="s">
        <v>79</v>
      </c>
      <c r="P11" s="3" t="s">
        <v>79</v>
      </c>
      <c r="Q11" s="3" t="s">
        <v>84</v>
      </c>
      <c r="R11" s="3" t="s">
        <v>79</v>
      </c>
      <c r="S11" s="3">
        <f>COUNTIF(Q2:Q101, "Editorial Material")</f>
        <v>0</v>
      </c>
      <c r="T11" s="3" t="s">
        <v>79</v>
      </c>
      <c r="U11" s="3" t="s">
        <v>79</v>
      </c>
      <c r="V11" s="3" t="s">
        <v>79</v>
      </c>
      <c r="W11" s="3" t="s">
        <v>223</v>
      </c>
      <c r="X11" s="3" t="s">
        <v>224</v>
      </c>
      <c r="Y11" s="3" t="s">
        <v>225</v>
      </c>
      <c r="Z11" s="3" t="s">
        <v>226</v>
      </c>
      <c r="AA11" s="3" t="s">
        <v>227</v>
      </c>
      <c r="AB11" s="3" t="s">
        <v>228</v>
      </c>
      <c r="AC11" s="3" t="s">
        <v>229</v>
      </c>
      <c r="AD11" s="3" t="s">
        <v>79</v>
      </c>
      <c r="AE11" s="3" t="s">
        <v>79</v>
      </c>
      <c r="AF11" s="3" t="s">
        <v>79</v>
      </c>
      <c r="AG11" s="3" t="s">
        <v>79</v>
      </c>
      <c r="AH11" s="3" t="s">
        <v>79</v>
      </c>
      <c r="AI11" s="3" t="s">
        <v>79</v>
      </c>
      <c r="AJ11" s="3">
        <v>11.0</v>
      </c>
      <c r="AK11" s="3">
        <v>9.0</v>
      </c>
      <c r="AL11" s="3">
        <v>10.0</v>
      </c>
      <c r="AM11" s="3" t="s">
        <v>79</v>
      </c>
      <c r="AN11" s="3" t="s">
        <v>79</v>
      </c>
      <c r="AO11" s="3" t="s">
        <v>79</v>
      </c>
      <c r="AP11" s="3" t="s">
        <v>79</v>
      </c>
      <c r="AQ11" s="3" t="s">
        <v>79</v>
      </c>
      <c r="AR11" s="3" t="s">
        <v>79</v>
      </c>
      <c r="AS11" s="3" t="s">
        <v>79</v>
      </c>
      <c r="AT11" s="3" t="s">
        <v>79</v>
      </c>
      <c r="AU11" s="3" t="s">
        <v>79</v>
      </c>
      <c r="AV11" s="3" t="s">
        <v>79</v>
      </c>
      <c r="AW11" s="3" t="s">
        <v>79</v>
      </c>
      <c r="AX11" s="3">
        <v>2015.0</v>
      </c>
      <c r="AY11" s="3" t="s">
        <v>79</v>
      </c>
      <c r="AZ11" s="3" t="s">
        <v>79</v>
      </c>
      <c r="BA11" s="3" t="s">
        <v>79</v>
      </c>
      <c r="BB11" s="3" t="s">
        <v>79</v>
      </c>
      <c r="BC11" s="3" t="s">
        <v>79</v>
      </c>
      <c r="BD11" s="3" t="s">
        <v>79</v>
      </c>
      <c r="BE11" s="3">
        <v>19.0</v>
      </c>
      <c r="BF11" s="3">
        <v>22.0</v>
      </c>
      <c r="BG11" s="3" t="s">
        <v>79</v>
      </c>
      <c r="BH11" s="3" t="s">
        <v>79</v>
      </c>
      <c r="BI11" s="3" t="s">
        <v>79</v>
      </c>
      <c r="BJ11" s="3" t="s">
        <v>79</v>
      </c>
      <c r="BK11" s="3" t="s">
        <v>79</v>
      </c>
      <c r="BL11" s="3" t="s">
        <v>79</v>
      </c>
      <c r="BM11" s="3" t="s">
        <v>79</v>
      </c>
      <c r="BN11" s="3" t="s">
        <v>79</v>
      </c>
      <c r="BO11" s="3" t="s">
        <v>139</v>
      </c>
      <c r="BP11" s="3" t="s">
        <v>79</v>
      </c>
      <c r="BQ11" s="3" t="s">
        <v>79</v>
      </c>
      <c r="BR11" s="3" t="s">
        <v>79</v>
      </c>
      <c r="BS11" s="3" t="s">
        <v>79</v>
      </c>
      <c r="BT11" s="3" t="s">
        <v>79</v>
      </c>
      <c r="BU11" s="3" t="s">
        <v>95</v>
      </c>
      <c r="BV11" s="3" t="s">
        <v>230</v>
      </c>
      <c r="BW11" s="3" t="str">
        <f>HYPERLINK("https%3A%2F%2Fwww.webofscience.com%2Fwos%2Fwoscc%2Ffull-record%2FWOS:000380585100006","View Full Record in Web of Science")</f>
        <v>View Full Record in Web of Science</v>
      </c>
    </row>
    <row r="12" ht="12.75" customHeight="1">
      <c r="A12" s="5" t="s">
        <v>75</v>
      </c>
      <c r="B12" s="7"/>
      <c r="C12" s="5">
        <v>7.0</v>
      </c>
      <c r="D12" s="3" t="s">
        <v>185</v>
      </c>
      <c r="E12" s="3" t="s">
        <v>231</v>
      </c>
      <c r="F12" s="3" t="s">
        <v>79</v>
      </c>
      <c r="G12" s="3" t="s">
        <v>79</v>
      </c>
      <c r="H12" s="3" t="s">
        <v>79</v>
      </c>
      <c r="I12" s="3" t="s">
        <v>232</v>
      </c>
      <c r="J12" s="3" t="s">
        <v>79</v>
      </c>
      <c r="K12" s="3" t="s">
        <v>79</v>
      </c>
      <c r="L12" s="3" t="s">
        <v>233</v>
      </c>
      <c r="M12" s="3" t="s">
        <v>234</v>
      </c>
      <c r="N12" s="3" t="s">
        <v>79</v>
      </c>
      <c r="O12" s="3" t="s">
        <v>79</v>
      </c>
      <c r="P12" s="3" t="s">
        <v>79</v>
      </c>
      <c r="Q12" s="3" t="s">
        <v>190</v>
      </c>
      <c r="R12" s="3" t="s">
        <v>79</v>
      </c>
      <c r="S12" s="3" t="s">
        <v>79</v>
      </c>
      <c r="T12" s="3" t="s">
        <v>79</v>
      </c>
      <c r="U12" s="3" t="s">
        <v>79</v>
      </c>
      <c r="V12" s="3" t="s">
        <v>79</v>
      </c>
      <c r="W12" s="3" t="s">
        <v>235</v>
      </c>
      <c r="X12" s="3" t="s">
        <v>236</v>
      </c>
      <c r="Y12" s="3" t="s">
        <v>237</v>
      </c>
      <c r="Z12" s="3" t="s">
        <v>238</v>
      </c>
      <c r="AA12" s="3" t="s">
        <v>239</v>
      </c>
      <c r="AB12" s="3" t="s">
        <v>240</v>
      </c>
      <c r="AC12" s="3" t="s">
        <v>241</v>
      </c>
      <c r="AD12" s="3" t="s">
        <v>242</v>
      </c>
      <c r="AE12" s="3" t="s">
        <v>243</v>
      </c>
      <c r="AF12" s="3" t="s">
        <v>79</v>
      </c>
      <c r="AG12" s="3" t="s">
        <v>79</v>
      </c>
      <c r="AH12" s="3" t="s">
        <v>79</v>
      </c>
      <c r="AI12" s="3" t="s">
        <v>79</v>
      </c>
      <c r="AJ12" s="3">
        <v>37.0</v>
      </c>
      <c r="AK12" s="3">
        <v>4.0</v>
      </c>
      <c r="AL12" s="3">
        <v>6.0</v>
      </c>
      <c r="AM12" s="3" t="s">
        <v>79</v>
      </c>
      <c r="AN12" s="3" t="s">
        <v>79</v>
      </c>
      <c r="AO12" s="3" t="s">
        <v>79</v>
      </c>
      <c r="AP12" s="3" t="s">
        <v>79</v>
      </c>
      <c r="AQ12" s="3" t="s">
        <v>79</v>
      </c>
      <c r="AR12" s="3" t="s">
        <v>79</v>
      </c>
      <c r="AS12" s="3" t="s">
        <v>79</v>
      </c>
      <c r="AT12" s="3" t="s">
        <v>79</v>
      </c>
      <c r="AU12" s="3" t="s">
        <v>79</v>
      </c>
      <c r="AV12" s="3" t="s">
        <v>79</v>
      </c>
      <c r="AW12" s="3" t="s">
        <v>244</v>
      </c>
      <c r="AX12" s="3">
        <v>2023.0</v>
      </c>
      <c r="AY12" s="3">
        <v>23.0</v>
      </c>
      <c r="AZ12" s="3">
        <v>9.0</v>
      </c>
      <c r="BA12" s="3" t="s">
        <v>79</v>
      </c>
      <c r="BB12" s="3" t="s">
        <v>79</v>
      </c>
      <c r="BC12" s="3" t="s">
        <v>79</v>
      </c>
      <c r="BD12" s="3" t="s">
        <v>79</v>
      </c>
      <c r="BE12" s="3" t="s">
        <v>79</v>
      </c>
      <c r="BF12" s="3" t="s">
        <v>79</v>
      </c>
      <c r="BG12" s="3">
        <v>4277.0</v>
      </c>
      <c r="BH12" s="3" t="s">
        <v>245</v>
      </c>
      <c r="BI12" s="8" t="str">
        <f>HYPERLINK("http://dx.doi.org/10.3390/s23094277","http://dx.doi.org/10.3390/s23094277")</f>
        <v>http://dx.doi.org/10.3390/s23094277</v>
      </c>
      <c r="BJ12" s="3" t="s">
        <v>79</v>
      </c>
      <c r="BK12" s="3" t="s">
        <v>79</v>
      </c>
      <c r="BL12" s="3" t="s">
        <v>79</v>
      </c>
      <c r="BM12" s="3" t="s">
        <v>79</v>
      </c>
      <c r="BN12" s="3" t="s">
        <v>79</v>
      </c>
      <c r="BO12" s="3" t="s">
        <v>246</v>
      </c>
      <c r="BP12" s="3" t="s">
        <v>79</v>
      </c>
      <c r="BQ12" s="3" t="s">
        <v>79</v>
      </c>
      <c r="BR12" s="3" t="s">
        <v>79</v>
      </c>
      <c r="BS12" s="3" t="s">
        <v>79</v>
      </c>
      <c r="BT12" s="3" t="s">
        <v>79</v>
      </c>
      <c r="BU12" s="3" t="s">
        <v>95</v>
      </c>
      <c r="BV12" s="3" t="s">
        <v>247</v>
      </c>
      <c r="BW12" s="3" t="str">
        <f>HYPERLINK("https%3A%2F%2Fwww.webofscience.com%2Fwos%2Fwoscc%2Ffull-record%2FWOS:000988155500001","View Full Record in Web of Science")</f>
        <v>View Full Record in Web of Science</v>
      </c>
    </row>
    <row r="13" ht="12.75" customHeight="1">
      <c r="A13" s="5" t="s">
        <v>248</v>
      </c>
      <c r="B13" s="6" t="s">
        <v>249</v>
      </c>
      <c r="C13" s="5">
        <v>10.0</v>
      </c>
      <c r="D13" s="3" t="s">
        <v>77</v>
      </c>
      <c r="E13" s="3" t="s">
        <v>250</v>
      </c>
      <c r="F13" s="3" t="s">
        <v>79</v>
      </c>
      <c r="G13" s="3" t="s">
        <v>79</v>
      </c>
      <c r="H13" s="3" t="s">
        <v>80</v>
      </c>
      <c r="I13" s="3" t="s">
        <v>251</v>
      </c>
      <c r="J13" s="3" t="s">
        <v>79</v>
      </c>
      <c r="K13" s="3" t="s">
        <v>79</v>
      </c>
      <c r="L13" s="3" t="s">
        <v>252</v>
      </c>
      <c r="M13" s="3" t="s">
        <v>253</v>
      </c>
      <c r="N13" s="3" t="s">
        <v>254</v>
      </c>
      <c r="O13" s="3" t="s">
        <v>79</v>
      </c>
      <c r="P13" s="3" t="s">
        <v>79</v>
      </c>
      <c r="Q13" s="3" t="s">
        <v>84</v>
      </c>
      <c r="R13" s="3" t="s">
        <v>79</v>
      </c>
      <c r="S13" s="3" t="s">
        <v>79</v>
      </c>
      <c r="T13" s="3" t="s">
        <v>79</v>
      </c>
      <c r="U13" s="3" t="s">
        <v>79</v>
      </c>
      <c r="V13" s="3" t="s">
        <v>79</v>
      </c>
      <c r="W13" s="3" t="s">
        <v>79</v>
      </c>
      <c r="X13" s="3" t="s">
        <v>79</v>
      </c>
      <c r="Y13" s="3" t="s">
        <v>255</v>
      </c>
      <c r="Z13" s="3" t="s">
        <v>256</v>
      </c>
      <c r="AA13" s="3" t="s">
        <v>257</v>
      </c>
      <c r="AB13" s="3" t="s">
        <v>258</v>
      </c>
      <c r="AC13" s="3" t="s">
        <v>259</v>
      </c>
      <c r="AD13" s="3" t="s">
        <v>260</v>
      </c>
      <c r="AE13" s="3" t="s">
        <v>79</v>
      </c>
      <c r="AF13" s="3" t="s">
        <v>79</v>
      </c>
      <c r="AG13" s="3" t="s">
        <v>79</v>
      </c>
      <c r="AH13" s="3" t="s">
        <v>79</v>
      </c>
      <c r="AI13" s="3" t="s">
        <v>79</v>
      </c>
      <c r="AJ13" s="3">
        <v>12.0</v>
      </c>
      <c r="AK13" s="3">
        <v>12.0</v>
      </c>
      <c r="AL13" s="3">
        <v>13.0</v>
      </c>
      <c r="AM13" s="3" t="s">
        <v>79</v>
      </c>
      <c r="AN13" s="3" t="s">
        <v>79</v>
      </c>
      <c r="AO13" s="3" t="s">
        <v>79</v>
      </c>
      <c r="AP13" s="3" t="s">
        <v>79</v>
      </c>
      <c r="AQ13" s="3" t="s">
        <v>79</v>
      </c>
      <c r="AR13" s="3" t="s">
        <v>79</v>
      </c>
      <c r="AS13" s="3" t="s">
        <v>79</v>
      </c>
      <c r="AT13" s="3" t="s">
        <v>79</v>
      </c>
      <c r="AU13" s="3" t="s">
        <v>79</v>
      </c>
      <c r="AV13" s="3" t="s">
        <v>79</v>
      </c>
      <c r="AW13" s="3" t="s">
        <v>79</v>
      </c>
      <c r="AX13" s="3">
        <v>2020.0</v>
      </c>
      <c r="AY13" s="3" t="s">
        <v>79</v>
      </c>
      <c r="AZ13" s="3" t="s">
        <v>79</v>
      </c>
      <c r="BA13" s="3" t="s">
        <v>79</v>
      </c>
      <c r="BB13" s="3" t="s">
        <v>79</v>
      </c>
      <c r="BC13" s="3" t="s">
        <v>79</v>
      </c>
      <c r="BD13" s="3" t="s">
        <v>79</v>
      </c>
      <c r="BE13" s="3">
        <v>192.0</v>
      </c>
      <c r="BF13" s="3">
        <v>195.0</v>
      </c>
      <c r="BG13" s="3" t="s">
        <v>79</v>
      </c>
      <c r="BH13" s="3" t="s">
        <v>261</v>
      </c>
      <c r="BI13" s="8" t="str">
        <f>HYPERLINK("http://dx.doi.org/10.1109/embc44109.2020.9176361","http://dx.doi.org/10.1109/embc44109.2020.9176361")</f>
        <v>http://dx.doi.org/10.1109/embc44109.2020.9176361</v>
      </c>
      <c r="BJ13" s="3" t="s">
        <v>79</v>
      </c>
      <c r="BK13" s="3" t="s">
        <v>79</v>
      </c>
      <c r="BL13" s="3" t="s">
        <v>79</v>
      </c>
      <c r="BM13" s="3" t="s">
        <v>79</v>
      </c>
      <c r="BN13" s="3" t="s">
        <v>79</v>
      </c>
      <c r="BO13" s="3" t="s">
        <v>139</v>
      </c>
      <c r="BP13" s="3" t="s">
        <v>79</v>
      </c>
      <c r="BQ13" s="3" t="s">
        <v>79</v>
      </c>
      <c r="BR13" s="3" t="s">
        <v>79</v>
      </c>
      <c r="BS13" s="3" t="s">
        <v>79</v>
      </c>
      <c r="BT13" s="3" t="s">
        <v>79</v>
      </c>
      <c r="BU13" s="3" t="s">
        <v>95</v>
      </c>
      <c r="BV13" s="3" t="s">
        <v>262</v>
      </c>
      <c r="BW13" s="3" t="str">
        <f>HYPERLINK("https%3A%2F%2Fwww.webofscience.com%2Fwos%2Fwoscc%2Ffull-record%2FWOS:000621592200047","View Full Record in Web of Science")</f>
        <v>View Full Record in Web of Science</v>
      </c>
    </row>
    <row r="14" ht="12.75" customHeight="1">
      <c r="A14" s="5" t="s">
        <v>248</v>
      </c>
      <c r="B14" s="7"/>
      <c r="C14" s="5">
        <v>7.0</v>
      </c>
      <c r="D14" s="3" t="s">
        <v>77</v>
      </c>
      <c r="E14" s="3" t="s">
        <v>263</v>
      </c>
      <c r="F14" s="3" t="s">
        <v>79</v>
      </c>
      <c r="G14" s="3" t="s">
        <v>79</v>
      </c>
      <c r="H14" s="3" t="s">
        <v>80</v>
      </c>
      <c r="I14" s="3" t="s">
        <v>264</v>
      </c>
      <c r="J14" s="3" t="s">
        <v>79</v>
      </c>
      <c r="K14" s="3" t="s">
        <v>79</v>
      </c>
      <c r="L14" s="3" t="s">
        <v>265</v>
      </c>
      <c r="M14" s="3" t="s">
        <v>266</v>
      </c>
      <c r="N14" s="3" t="s">
        <v>79</v>
      </c>
      <c r="O14" s="3" t="s">
        <v>79</v>
      </c>
      <c r="P14" s="3" t="s">
        <v>79</v>
      </c>
      <c r="Q14" s="3" t="s">
        <v>84</v>
      </c>
      <c r="R14" s="3" t="s">
        <v>79</v>
      </c>
      <c r="S14" s="3" t="s">
        <v>79</v>
      </c>
      <c r="T14" s="3" t="s">
        <v>79</v>
      </c>
      <c r="U14" s="3" t="s">
        <v>79</v>
      </c>
      <c r="V14" s="3" t="s">
        <v>79</v>
      </c>
      <c r="W14" s="3" t="s">
        <v>267</v>
      </c>
      <c r="X14" s="3" t="s">
        <v>268</v>
      </c>
      <c r="Y14" s="3" t="s">
        <v>269</v>
      </c>
      <c r="Z14" s="3" t="s">
        <v>270</v>
      </c>
      <c r="AA14" s="3" t="s">
        <v>271</v>
      </c>
      <c r="AB14" s="3" t="s">
        <v>272</v>
      </c>
      <c r="AC14" s="3" t="s">
        <v>273</v>
      </c>
      <c r="AD14" s="3" t="s">
        <v>274</v>
      </c>
      <c r="AE14" s="3" t="s">
        <v>79</v>
      </c>
      <c r="AF14" s="3" t="s">
        <v>79</v>
      </c>
      <c r="AG14" s="3" t="s">
        <v>79</v>
      </c>
      <c r="AH14" s="3" t="s">
        <v>79</v>
      </c>
      <c r="AI14" s="3" t="s">
        <v>79</v>
      </c>
      <c r="AJ14" s="3">
        <v>14.0</v>
      </c>
      <c r="AK14" s="3">
        <v>0.0</v>
      </c>
      <c r="AL14" s="3">
        <v>0.0</v>
      </c>
      <c r="AM14" s="3" t="s">
        <v>79</v>
      </c>
      <c r="AN14" s="3" t="s">
        <v>79</v>
      </c>
      <c r="AO14" s="3" t="s">
        <v>79</v>
      </c>
      <c r="AP14" s="3" t="s">
        <v>79</v>
      </c>
      <c r="AQ14" s="3" t="s">
        <v>79</v>
      </c>
      <c r="AR14" s="3" t="s">
        <v>79</v>
      </c>
      <c r="AS14" s="3" t="s">
        <v>79</v>
      </c>
      <c r="AT14" s="3" t="s">
        <v>79</v>
      </c>
      <c r="AU14" s="3" t="s">
        <v>79</v>
      </c>
      <c r="AV14" s="3" t="s">
        <v>79</v>
      </c>
      <c r="AW14" s="3" t="s">
        <v>79</v>
      </c>
      <c r="AX14" s="3">
        <v>2015.0</v>
      </c>
      <c r="AY14" s="3" t="s">
        <v>79</v>
      </c>
      <c r="AZ14" s="3" t="s">
        <v>79</v>
      </c>
      <c r="BA14" s="3" t="s">
        <v>79</v>
      </c>
      <c r="BB14" s="3" t="s">
        <v>79</v>
      </c>
      <c r="BC14" s="3" t="s">
        <v>79</v>
      </c>
      <c r="BD14" s="3" t="s">
        <v>79</v>
      </c>
      <c r="BE14" s="3" t="s">
        <v>79</v>
      </c>
      <c r="BF14" s="3" t="s">
        <v>79</v>
      </c>
      <c r="BG14" s="3" t="s">
        <v>79</v>
      </c>
      <c r="BH14" s="3" t="s">
        <v>79</v>
      </c>
      <c r="BI14" s="3" t="s">
        <v>79</v>
      </c>
      <c r="BJ14" s="3" t="s">
        <v>79</v>
      </c>
      <c r="BK14" s="3" t="s">
        <v>79</v>
      </c>
      <c r="BL14" s="3" t="s">
        <v>79</v>
      </c>
      <c r="BM14" s="3" t="s">
        <v>79</v>
      </c>
      <c r="BN14" s="3" t="s">
        <v>79</v>
      </c>
      <c r="BO14" s="3" t="s">
        <v>275</v>
      </c>
      <c r="BP14" s="3" t="s">
        <v>79</v>
      </c>
      <c r="BQ14" s="3" t="s">
        <v>79</v>
      </c>
      <c r="BR14" s="3" t="s">
        <v>79</v>
      </c>
      <c r="BS14" s="3" t="s">
        <v>79</v>
      </c>
      <c r="BT14" s="3" t="s">
        <v>79</v>
      </c>
      <c r="BU14" s="3" t="s">
        <v>95</v>
      </c>
      <c r="BV14" s="3" t="s">
        <v>276</v>
      </c>
      <c r="BW14" s="3" t="str">
        <f>HYPERLINK("https%3A%2F%2Fwww.webofscience.com%2Fwos%2Fwoscc%2Ffull-record%2FWOS:000455003600057","View Full Record in Web of Science")</f>
        <v>View Full Record in Web of Science</v>
      </c>
    </row>
    <row r="15" ht="12.75" customHeight="1">
      <c r="A15" s="5" t="s">
        <v>248</v>
      </c>
      <c r="B15" s="7"/>
      <c r="C15" s="5">
        <v>8.0</v>
      </c>
      <c r="D15" s="3" t="s">
        <v>185</v>
      </c>
      <c r="E15" s="3" t="s">
        <v>277</v>
      </c>
      <c r="F15" s="3" t="s">
        <v>79</v>
      </c>
      <c r="G15" s="3" t="s">
        <v>79</v>
      </c>
      <c r="H15" s="3" t="s">
        <v>79</v>
      </c>
      <c r="I15" s="3" t="s">
        <v>278</v>
      </c>
      <c r="J15" s="3" t="s">
        <v>79</v>
      </c>
      <c r="K15" s="3" t="s">
        <v>79</v>
      </c>
      <c r="L15" s="3" t="s">
        <v>279</v>
      </c>
      <c r="M15" s="3" t="s">
        <v>280</v>
      </c>
      <c r="N15" s="3" t="s">
        <v>79</v>
      </c>
      <c r="O15" s="3" t="s">
        <v>79</v>
      </c>
      <c r="P15" s="3" t="s">
        <v>79</v>
      </c>
      <c r="Q15" s="3" t="s">
        <v>190</v>
      </c>
      <c r="R15" s="3" t="s">
        <v>79</v>
      </c>
      <c r="S15" s="3" t="s">
        <v>79</v>
      </c>
      <c r="T15" s="3" t="s">
        <v>79</v>
      </c>
      <c r="U15" s="3" t="s">
        <v>79</v>
      </c>
      <c r="V15" s="3" t="s">
        <v>79</v>
      </c>
      <c r="W15" s="3" t="s">
        <v>281</v>
      </c>
      <c r="X15" s="3" t="s">
        <v>282</v>
      </c>
      <c r="Y15" s="3" t="s">
        <v>283</v>
      </c>
      <c r="Z15" s="3" t="s">
        <v>284</v>
      </c>
      <c r="AA15" s="3" t="s">
        <v>285</v>
      </c>
      <c r="AB15" s="3" t="s">
        <v>286</v>
      </c>
      <c r="AC15" s="3" t="s">
        <v>287</v>
      </c>
      <c r="AD15" s="3" t="s">
        <v>288</v>
      </c>
      <c r="AE15" s="3" t="s">
        <v>289</v>
      </c>
      <c r="AF15" s="3" t="s">
        <v>79</v>
      </c>
      <c r="AG15" s="3" t="s">
        <v>79</v>
      </c>
      <c r="AH15" s="3" t="s">
        <v>79</v>
      </c>
      <c r="AI15" s="3" t="s">
        <v>79</v>
      </c>
      <c r="AJ15" s="3">
        <v>38.0</v>
      </c>
      <c r="AK15" s="3">
        <v>56.0</v>
      </c>
      <c r="AL15" s="3">
        <v>67.0</v>
      </c>
      <c r="AM15" s="3" t="s">
        <v>79</v>
      </c>
      <c r="AN15" s="3" t="s">
        <v>79</v>
      </c>
      <c r="AO15" s="3" t="s">
        <v>79</v>
      </c>
      <c r="AP15" s="3" t="s">
        <v>79</v>
      </c>
      <c r="AQ15" s="3" t="s">
        <v>79</v>
      </c>
      <c r="AR15" s="3" t="s">
        <v>79</v>
      </c>
      <c r="AS15" s="3" t="s">
        <v>79</v>
      </c>
      <c r="AT15" s="3" t="s">
        <v>79</v>
      </c>
      <c r="AU15" s="3" t="s">
        <v>79</v>
      </c>
      <c r="AV15" s="3" t="s">
        <v>79</v>
      </c>
      <c r="AW15" s="3" t="s">
        <v>290</v>
      </c>
      <c r="AX15" s="3">
        <v>2018.0</v>
      </c>
      <c r="AY15" s="3">
        <v>30.0</v>
      </c>
      <c r="AZ15" s="3">
        <v>23.0</v>
      </c>
      <c r="BA15" s="3" t="s">
        <v>79</v>
      </c>
      <c r="BB15" s="3" t="s">
        <v>79</v>
      </c>
      <c r="BC15" s="3" t="s">
        <v>291</v>
      </c>
      <c r="BD15" s="3" t="s">
        <v>79</v>
      </c>
      <c r="BE15" s="3" t="s">
        <v>79</v>
      </c>
      <c r="BF15" s="3" t="s">
        <v>79</v>
      </c>
      <c r="BG15" s="3" t="s">
        <v>292</v>
      </c>
      <c r="BH15" s="3" t="s">
        <v>293</v>
      </c>
      <c r="BI15" s="8" t="str">
        <f>HYPERLINK("http://dx.doi.org/10.1002/cpe.4413","http://dx.doi.org/10.1002/cpe.4413")</f>
        <v>http://dx.doi.org/10.1002/cpe.4413</v>
      </c>
      <c r="BJ15" s="3" t="s">
        <v>79</v>
      </c>
      <c r="BK15" s="3" t="s">
        <v>79</v>
      </c>
      <c r="BL15" s="3" t="s">
        <v>79</v>
      </c>
      <c r="BM15" s="3" t="s">
        <v>79</v>
      </c>
      <c r="BN15" s="3" t="s">
        <v>79</v>
      </c>
      <c r="BO15" s="3" t="s">
        <v>275</v>
      </c>
      <c r="BP15" s="3" t="s">
        <v>79</v>
      </c>
      <c r="BQ15" s="3" t="s">
        <v>79</v>
      </c>
      <c r="BR15" s="3" t="s">
        <v>79</v>
      </c>
      <c r="BS15" s="3" t="s">
        <v>79</v>
      </c>
      <c r="BT15" s="3" t="s">
        <v>79</v>
      </c>
      <c r="BU15" s="3" t="s">
        <v>95</v>
      </c>
      <c r="BV15" s="3" t="s">
        <v>294</v>
      </c>
      <c r="BW15" s="3" t="str">
        <f>HYPERLINK("https%3A%2F%2Fwww.webofscience.com%2Fwos%2Fwoscc%2Ffull-record%2FWOS:000452028300008","View Full Record in Web of Science")</f>
        <v>View Full Record in Web of Science</v>
      </c>
    </row>
    <row r="16" ht="12.75" customHeight="1">
      <c r="A16" s="5" t="s">
        <v>248</v>
      </c>
      <c r="B16" s="7"/>
      <c r="C16" s="5">
        <v>0.0</v>
      </c>
      <c r="D16" s="3" t="s">
        <v>77</v>
      </c>
      <c r="E16" s="3" t="s">
        <v>170</v>
      </c>
      <c r="F16" s="3" t="s">
        <v>79</v>
      </c>
      <c r="G16" s="3" t="s">
        <v>79</v>
      </c>
      <c r="H16" s="3" t="s">
        <v>80</v>
      </c>
      <c r="I16" s="3" t="s">
        <v>171</v>
      </c>
      <c r="J16" s="3" t="s">
        <v>79</v>
      </c>
      <c r="K16" s="3" t="s">
        <v>79</v>
      </c>
      <c r="L16" s="3" t="s">
        <v>295</v>
      </c>
      <c r="M16" s="3" t="s">
        <v>173</v>
      </c>
      <c r="N16" s="3" t="s">
        <v>79</v>
      </c>
      <c r="O16" s="3" t="s">
        <v>79</v>
      </c>
      <c r="P16" s="3" t="s">
        <v>79</v>
      </c>
      <c r="Q16" s="3" t="s">
        <v>84</v>
      </c>
      <c r="R16" s="3" t="s">
        <v>79</v>
      </c>
      <c r="S16" s="3" t="s">
        <v>79</v>
      </c>
      <c r="T16" s="3" t="s">
        <v>79</v>
      </c>
      <c r="U16" s="3" t="s">
        <v>79</v>
      </c>
      <c r="V16" s="3" t="s">
        <v>79</v>
      </c>
      <c r="W16" s="3" t="s">
        <v>296</v>
      </c>
      <c r="X16" s="3" t="s">
        <v>297</v>
      </c>
      <c r="Y16" s="3" t="s">
        <v>298</v>
      </c>
      <c r="Z16" s="3" t="s">
        <v>177</v>
      </c>
      <c r="AA16" s="3" t="s">
        <v>178</v>
      </c>
      <c r="AB16" s="3" t="s">
        <v>179</v>
      </c>
      <c r="AC16" s="3" t="s">
        <v>180</v>
      </c>
      <c r="AD16" s="3" t="s">
        <v>299</v>
      </c>
      <c r="AE16" s="3" t="s">
        <v>300</v>
      </c>
      <c r="AF16" s="3" t="s">
        <v>79</v>
      </c>
      <c r="AG16" s="3" t="s">
        <v>79</v>
      </c>
      <c r="AH16" s="3" t="s">
        <v>79</v>
      </c>
      <c r="AI16" s="3" t="s">
        <v>79</v>
      </c>
      <c r="AJ16" s="3">
        <v>50.0</v>
      </c>
      <c r="AK16" s="3">
        <v>5.0</v>
      </c>
      <c r="AL16" s="3">
        <v>5.0</v>
      </c>
      <c r="AM16" s="3" t="s">
        <v>79</v>
      </c>
      <c r="AN16" s="3" t="s">
        <v>79</v>
      </c>
      <c r="AO16" s="3" t="s">
        <v>79</v>
      </c>
      <c r="AP16" s="3" t="s">
        <v>79</v>
      </c>
      <c r="AQ16" s="3" t="s">
        <v>79</v>
      </c>
      <c r="AR16" s="3" t="s">
        <v>79</v>
      </c>
      <c r="AS16" s="3" t="s">
        <v>79</v>
      </c>
      <c r="AT16" s="3" t="s">
        <v>79</v>
      </c>
      <c r="AU16" s="3" t="s">
        <v>79</v>
      </c>
      <c r="AV16" s="3" t="s">
        <v>79</v>
      </c>
      <c r="AW16" s="3" t="s">
        <v>79</v>
      </c>
      <c r="AX16" s="3">
        <v>2015.0</v>
      </c>
      <c r="AY16" s="3" t="s">
        <v>79</v>
      </c>
      <c r="AZ16" s="3" t="s">
        <v>79</v>
      </c>
      <c r="BA16" s="3" t="s">
        <v>79</v>
      </c>
      <c r="BB16" s="3" t="s">
        <v>79</v>
      </c>
      <c r="BC16" s="3" t="s">
        <v>79</v>
      </c>
      <c r="BD16" s="3" t="s">
        <v>79</v>
      </c>
      <c r="BE16" s="3">
        <v>1150.0</v>
      </c>
      <c r="BF16" s="3">
        <v>1155.0</v>
      </c>
      <c r="BG16" s="3" t="s">
        <v>79</v>
      </c>
      <c r="BH16" s="3" t="s">
        <v>79</v>
      </c>
      <c r="BI16" s="3" t="s">
        <v>79</v>
      </c>
      <c r="BJ16" s="3" t="s">
        <v>79</v>
      </c>
      <c r="BK16" s="3" t="s">
        <v>79</v>
      </c>
      <c r="BL16" s="3" t="s">
        <v>79</v>
      </c>
      <c r="BM16" s="3" t="s">
        <v>79</v>
      </c>
      <c r="BN16" s="3" t="s">
        <v>79</v>
      </c>
      <c r="BO16" s="3" t="s">
        <v>183</v>
      </c>
      <c r="BP16" s="3" t="s">
        <v>79</v>
      </c>
      <c r="BQ16" s="3" t="s">
        <v>79</v>
      </c>
      <c r="BR16" s="3" t="s">
        <v>79</v>
      </c>
      <c r="BS16" s="3" t="s">
        <v>79</v>
      </c>
      <c r="BT16" s="3" t="s">
        <v>79</v>
      </c>
      <c r="BU16" s="3" t="s">
        <v>95</v>
      </c>
      <c r="BV16" s="3" t="s">
        <v>301</v>
      </c>
      <c r="BW16" s="3" t="str">
        <f>HYPERLINK("https%3A%2F%2Fwww.webofscience.com%2Fwos%2Fwoscc%2Ffull-record%2FWOS:000380615700020","View Full Record in Web of Science")</f>
        <v>View Full Record in Web of Science</v>
      </c>
    </row>
    <row r="17" ht="12.75" customHeight="1">
      <c r="A17" s="5" t="s">
        <v>248</v>
      </c>
      <c r="B17" s="7"/>
      <c r="C17" s="5">
        <v>5.0</v>
      </c>
      <c r="D17" s="3" t="s">
        <v>185</v>
      </c>
      <c r="E17" s="3" t="s">
        <v>302</v>
      </c>
      <c r="F17" s="3" t="s">
        <v>79</v>
      </c>
      <c r="G17" s="3" t="s">
        <v>79</v>
      </c>
      <c r="H17" s="3" t="s">
        <v>79</v>
      </c>
      <c r="I17" s="3" t="s">
        <v>303</v>
      </c>
      <c r="J17" s="3" t="s">
        <v>79</v>
      </c>
      <c r="K17" s="3" t="s">
        <v>79</v>
      </c>
      <c r="L17" s="3" t="s">
        <v>304</v>
      </c>
      <c r="M17" s="3" t="s">
        <v>234</v>
      </c>
      <c r="N17" s="3" t="s">
        <v>79</v>
      </c>
      <c r="O17" s="3" t="s">
        <v>79</v>
      </c>
      <c r="P17" s="3" t="s">
        <v>79</v>
      </c>
      <c r="Q17" s="3" t="s">
        <v>190</v>
      </c>
      <c r="R17" s="3" t="s">
        <v>79</v>
      </c>
      <c r="S17" s="3" t="s">
        <v>79</v>
      </c>
      <c r="T17" s="3" t="s">
        <v>79</v>
      </c>
      <c r="U17" s="3" t="s">
        <v>79</v>
      </c>
      <c r="V17" s="3" t="s">
        <v>79</v>
      </c>
      <c r="W17" s="3" t="s">
        <v>305</v>
      </c>
      <c r="X17" s="3" t="s">
        <v>306</v>
      </c>
      <c r="Y17" s="3" t="s">
        <v>307</v>
      </c>
      <c r="Z17" s="3" t="s">
        <v>308</v>
      </c>
      <c r="AA17" s="3" t="s">
        <v>79</v>
      </c>
      <c r="AB17" s="3" t="s">
        <v>309</v>
      </c>
      <c r="AC17" s="3" t="s">
        <v>310</v>
      </c>
      <c r="AD17" s="3" t="s">
        <v>311</v>
      </c>
      <c r="AE17" s="3" t="s">
        <v>79</v>
      </c>
      <c r="AF17" s="3" t="s">
        <v>79</v>
      </c>
      <c r="AG17" s="3" t="s">
        <v>79</v>
      </c>
      <c r="AH17" s="3" t="s">
        <v>79</v>
      </c>
      <c r="AI17" s="3" t="s">
        <v>79</v>
      </c>
      <c r="AJ17" s="3">
        <v>57.0</v>
      </c>
      <c r="AK17" s="3">
        <v>0.0</v>
      </c>
      <c r="AL17" s="3">
        <v>0.0</v>
      </c>
      <c r="AM17" s="3" t="s">
        <v>79</v>
      </c>
      <c r="AN17" s="3" t="s">
        <v>79</v>
      </c>
      <c r="AO17" s="3" t="s">
        <v>79</v>
      </c>
      <c r="AP17" s="3" t="s">
        <v>79</v>
      </c>
      <c r="AQ17" s="3" t="s">
        <v>79</v>
      </c>
      <c r="AR17" s="3" t="s">
        <v>79</v>
      </c>
      <c r="AS17" s="3" t="s">
        <v>79</v>
      </c>
      <c r="AT17" s="3" t="s">
        <v>79</v>
      </c>
      <c r="AU17" s="3" t="s">
        <v>79</v>
      </c>
      <c r="AV17" s="3" t="s">
        <v>79</v>
      </c>
      <c r="AW17" s="3" t="s">
        <v>312</v>
      </c>
      <c r="AX17" s="3">
        <v>2025.0</v>
      </c>
      <c r="AY17" s="3">
        <v>25.0</v>
      </c>
      <c r="AZ17" s="3">
        <v>17.0</v>
      </c>
      <c r="BA17" s="3" t="s">
        <v>79</v>
      </c>
      <c r="BB17" s="3" t="s">
        <v>79</v>
      </c>
      <c r="BC17" s="3" t="s">
        <v>79</v>
      </c>
      <c r="BD17" s="3" t="s">
        <v>79</v>
      </c>
      <c r="BE17" s="3" t="s">
        <v>79</v>
      </c>
      <c r="BF17" s="3" t="s">
        <v>79</v>
      </c>
      <c r="BG17" s="3">
        <v>5291.0</v>
      </c>
      <c r="BH17" s="3" t="s">
        <v>313</v>
      </c>
      <c r="BI17" s="8" t="str">
        <f>HYPERLINK("http://dx.doi.org/10.3390/s25175291","http://dx.doi.org/10.3390/s25175291")</f>
        <v>http://dx.doi.org/10.3390/s25175291</v>
      </c>
      <c r="BJ17" s="3" t="s">
        <v>79</v>
      </c>
      <c r="BK17" s="3" t="s">
        <v>79</v>
      </c>
      <c r="BL17" s="3" t="s">
        <v>79</v>
      </c>
      <c r="BM17" s="3" t="s">
        <v>79</v>
      </c>
      <c r="BN17" s="3" t="s">
        <v>79</v>
      </c>
      <c r="BO17" s="3" t="s">
        <v>246</v>
      </c>
      <c r="BP17" s="3" t="s">
        <v>79</v>
      </c>
      <c r="BQ17" s="3" t="s">
        <v>79</v>
      </c>
      <c r="BR17" s="3" t="s">
        <v>79</v>
      </c>
      <c r="BS17" s="3" t="s">
        <v>79</v>
      </c>
      <c r="BT17" s="3" t="s">
        <v>79</v>
      </c>
      <c r="BU17" s="3" t="s">
        <v>95</v>
      </c>
      <c r="BV17" s="3" t="s">
        <v>314</v>
      </c>
      <c r="BW17" s="3" t="str">
        <f>HYPERLINK("https%3A%2F%2Fwww.webofscience.com%2Fwos%2Fwoscc%2Ffull-record%2FWOS:001570083600001","View Full Record in Web of Science")</f>
        <v>View Full Record in Web of Science</v>
      </c>
    </row>
    <row r="18" ht="12.75" customHeight="1">
      <c r="A18" s="5" t="s">
        <v>248</v>
      </c>
      <c r="B18" s="7"/>
      <c r="C18" s="5">
        <v>4.0</v>
      </c>
      <c r="D18" s="3" t="s">
        <v>185</v>
      </c>
      <c r="E18" s="3" t="s">
        <v>315</v>
      </c>
      <c r="F18" s="3" t="s">
        <v>315</v>
      </c>
      <c r="G18" s="3" t="s">
        <v>79</v>
      </c>
      <c r="H18" s="3" t="s">
        <v>79</v>
      </c>
      <c r="I18" s="3" t="s">
        <v>316</v>
      </c>
      <c r="J18" s="3" t="s">
        <v>79</v>
      </c>
      <c r="K18" s="3" t="s">
        <v>79</v>
      </c>
      <c r="L18" s="3" t="s">
        <v>317</v>
      </c>
      <c r="M18" s="3" t="s">
        <v>318</v>
      </c>
      <c r="N18" s="3" t="s">
        <v>79</v>
      </c>
      <c r="O18" s="3" t="s">
        <v>79</v>
      </c>
      <c r="P18" s="3" t="s">
        <v>79</v>
      </c>
      <c r="Q18" s="3" t="s">
        <v>190</v>
      </c>
      <c r="R18" s="3" t="s">
        <v>79</v>
      </c>
      <c r="S18" s="3" t="s">
        <v>79</v>
      </c>
      <c r="T18" s="3" t="s">
        <v>79</v>
      </c>
      <c r="U18" s="3" t="s">
        <v>79</v>
      </c>
      <c r="V18" s="3" t="s">
        <v>79</v>
      </c>
      <c r="W18" s="3" t="s">
        <v>319</v>
      </c>
      <c r="X18" s="3" t="s">
        <v>320</v>
      </c>
      <c r="Y18" s="3" t="s">
        <v>321</v>
      </c>
      <c r="Z18" s="3" t="s">
        <v>322</v>
      </c>
      <c r="AA18" s="3" t="s">
        <v>323</v>
      </c>
      <c r="AB18" s="3" t="s">
        <v>324</v>
      </c>
      <c r="AC18" s="3" t="s">
        <v>325</v>
      </c>
      <c r="AD18" s="3" t="s">
        <v>326</v>
      </c>
      <c r="AE18" s="3" t="s">
        <v>79</v>
      </c>
      <c r="AF18" s="3" t="s">
        <v>79</v>
      </c>
      <c r="AG18" s="3" t="s">
        <v>79</v>
      </c>
      <c r="AH18" s="3" t="s">
        <v>79</v>
      </c>
      <c r="AI18" s="3" t="s">
        <v>79</v>
      </c>
      <c r="AJ18" s="3">
        <v>87.0</v>
      </c>
      <c r="AK18" s="3">
        <v>0.0</v>
      </c>
      <c r="AL18" s="3">
        <v>0.0</v>
      </c>
      <c r="AM18" s="3" t="s">
        <v>79</v>
      </c>
      <c r="AN18" s="3" t="s">
        <v>79</v>
      </c>
      <c r="AO18" s="3" t="s">
        <v>79</v>
      </c>
      <c r="AP18" s="3" t="s">
        <v>79</v>
      </c>
      <c r="AQ18" s="3" t="s">
        <v>79</v>
      </c>
      <c r="AR18" s="3" t="s">
        <v>79</v>
      </c>
      <c r="AS18" s="3" t="s">
        <v>79</v>
      </c>
      <c r="AT18" s="3" t="s">
        <v>79</v>
      </c>
      <c r="AU18" s="3" t="s">
        <v>79</v>
      </c>
      <c r="AV18" s="3" t="s">
        <v>79</v>
      </c>
      <c r="AW18" s="3" t="s">
        <v>327</v>
      </c>
      <c r="AX18" s="3">
        <v>2025.0</v>
      </c>
      <c r="AY18" s="3">
        <v>19.0</v>
      </c>
      <c r="AZ18" s="3" t="s">
        <v>79</v>
      </c>
      <c r="BA18" s="3" t="s">
        <v>79</v>
      </c>
      <c r="BB18" s="3" t="s">
        <v>79</v>
      </c>
      <c r="BC18" s="3" t="s">
        <v>79</v>
      </c>
      <c r="BD18" s="3" t="s">
        <v>79</v>
      </c>
      <c r="BE18" s="3" t="s">
        <v>79</v>
      </c>
      <c r="BF18" s="3" t="s">
        <v>79</v>
      </c>
      <c r="BG18" s="3">
        <v>1625279.0</v>
      </c>
      <c r="BH18" s="3" t="s">
        <v>328</v>
      </c>
      <c r="BI18" s="8" t="str">
        <f>HYPERLINK("http://dx.doi.org/10.3389/fninf.2025.1625279","http://dx.doi.org/10.3389/fninf.2025.1625279")</f>
        <v>http://dx.doi.org/10.3389/fninf.2025.1625279</v>
      </c>
      <c r="BJ18" s="3" t="s">
        <v>79</v>
      </c>
      <c r="BK18" s="3" t="s">
        <v>79</v>
      </c>
      <c r="BL18" s="3" t="s">
        <v>79</v>
      </c>
      <c r="BM18" s="3" t="s">
        <v>79</v>
      </c>
      <c r="BN18" s="3" t="s">
        <v>79</v>
      </c>
      <c r="BO18" s="3" t="s">
        <v>329</v>
      </c>
      <c r="BP18" s="3" t="s">
        <v>79</v>
      </c>
      <c r="BQ18" s="3" t="s">
        <v>79</v>
      </c>
      <c r="BR18" s="3" t="s">
        <v>79</v>
      </c>
      <c r="BS18" s="3" t="s">
        <v>79</v>
      </c>
      <c r="BT18" s="3" t="s">
        <v>79</v>
      </c>
      <c r="BU18" s="3" t="s">
        <v>95</v>
      </c>
      <c r="BV18" s="3" t="s">
        <v>330</v>
      </c>
      <c r="BW18" s="3" t="str">
        <f>HYPERLINK("https%3A%2F%2Fwww.webofscience.com%2Fwos%2Fwoscc%2Ffull-record%2FWOS:001556294400001","View Full Record in Web of Science")</f>
        <v>View Full Record in Web of Science</v>
      </c>
    </row>
    <row r="19" ht="12.75" customHeight="1">
      <c r="A19" s="5" t="s">
        <v>248</v>
      </c>
      <c r="B19" s="7"/>
      <c r="C19" s="5">
        <v>8.0</v>
      </c>
      <c r="D19" s="3" t="s">
        <v>185</v>
      </c>
      <c r="E19" s="3" t="s">
        <v>331</v>
      </c>
      <c r="F19" s="3" t="s">
        <v>79</v>
      </c>
      <c r="G19" s="3" t="s">
        <v>79</v>
      </c>
      <c r="H19" s="3" t="s">
        <v>79</v>
      </c>
      <c r="I19" s="3" t="s">
        <v>332</v>
      </c>
      <c r="J19" s="3" t="s">
        <v>79</v>
      </c>
      <c r="K19" s="3" t="s">
        <v>79</v>
      </c>
      <c r="L19" s="3" t="s">
        <v>333</v>
      </c>
      <c r="M19" s="3" t="s">
        <v>334</v>
      </c>
      <c r="N19" s="3" t="s">
        <v>79</v>
      </c>
      <c r="O19" s="3" t="s">
        <v>79</v>
      </c>
      <c r="P19" s="3" t="s">
        <v>79</v>
      </c>
      <c r="Q19" s="3" t="s">
        <v>190</v>
      </c>
      <c r="R19" s="3" t="s">
        <v>79</v>
      </c>
      <c r="S19" s="3" t="s">
        <v>79</v>
      </c>
      <c r="T19" s="3" t="s">
        <v>79</v>
      </c>
      <c r="U19" s="3" t="s">
        <v>79</v>
      </c>
      <c r="V19" s="3" t="s">
        <v>79</v>
      </c>
      <c r="W19" s="3" t="s">
        <v>335</v>
      </c>
      <c r="X19" s="3" t="s">
        <v>336</v>
      </c>
      <c r="Y19" s="3" t="s">
        <v>337</v>
      </c>
      <c r="Z19" s="3" t="s">
        <v>338</v>
      </c>
      <c r="AA19" s="3" t="s">
        <v>339</v>
      </c>
      <c r="AB19" s="3" t="s">
        <v>340</v>
      </c>
      <c r="AC19" s="3" t="s">
        <v>341</v>
      </c>
      <c r="AD19" s="3" t="s">
        <v>342</v>
      </c>
      <c r="AE19" s="3" t="s">
        <v>79</v>
      </c>
      <c r="AF19" s="3" t="s">
        <v>79</v>
      </c>
      <c r="AG19" s="3" t="s">
        <v>79</v>
      </c>
      <c r="AH19" s="3" t="s">
        <v>79</v>
      </c>
      <c r="AI19" s="3" t="s">
        <v>79</v>
      </c>
      <c r="AJ19" s="3">
        <v>27.0</v>
      </c>
      <c r="AK19" s="3">
        <v>8.0</v>
      </c>
      <c r="AL19" s="3">
        <v>8.0</v>
      </c>
      <c r="AM19" s="3" t="s">
        <v>79</v>
      </c>
      <c r="AN19" s="3" t="s">
        <v>79</v>
      </c>
      <c r="AO19" s="3" t="s">
        <v>79</v>
      </c>
      <c r="AP19" s="3" t="s">
        <v>79</v>
      </c>
      <c r="AQ19" s="3" t="s">
        <v>79</v>
      </c>
      <c r="AR19" s="3" t="s">
        <v>79</v>
      </c>
      <c r="AS19" s="3" t="s">
        <v>79</v>
      </c>
      <c r="AT19" s="3" t="s">
        <v>79</v>
      </c>
      <c r="AU19" s="3" t="s">
        <v>79</v>
      </c>
      <c r="AV19" s="3" t="s">
        <v>79</v>
      </c>
      <c r="AW19" s="3" t="s">
        <v>343</v>
      </c>
      <c r="AX19" s="3">
        <v>2020.0</v>
      </c>
      <c r="AY19" s="3">
        <v>13.0</v>
      </c>
      <c r="AZ19" s="3">
        <v>4.0</v>
      </c>
      <c r="BA19" s="3" t="s">
        <v>79</v>
      </c>
      <c r="BB19" s="3" t="s">
        <v>79</v>
      </c>
      <c r="BC19" s="3" t="s">
        <v>79</v>
      </c>
      <c r="BD19" s="3" t="s">
        <v>79</v>
      </c>
      <c r="BE19" s="3">
        <v>437.0</v>
      </c>
      <c r="BF19" s="3">
        <v>453.0</v>
      </c>
      <c r="BG19" s="3" t="s">
        <v>79</v>
      </c>
      <c r="BH19" s="3" t="s">
        <v>344</v>
      </c>
      <c r="BI19" s="8" t="str">
        <f>HYPERLINK("http://dx.doi.org/10.1108/IJICC-07-2020-0077","http://dx.doi.org/10.1108/IJICC-07-2020-0077")</f>
        <v>http://dx.doi.org/10.1108/IJICC-07-2020-0077</v>
      </c>
      <c r="BJ19" s="3" t="s">
        <v>79</v>
      </c>
      <c r="BK19" s="3" t="s">
        <v>345</v>
      </c>
      <c r="BL19" s="3" t="s">
        <v>79</v>
      </c>
      <c r="BM19" s="3" t="s">
        <v>79</v>
      </c>
      <c r="BN19" s="3" t="s">
        <v>79</v>
      </c>
      <c r="BO19" s="3" t="s">
        <v>275</v>
      </c>
      <c r="BP19" s="3" t="s">
        <v>79</v>
      </c>
      <c r="BQ19" s="3" t="s">
        <v>79</v>
      </c>
      <c r="BR19" s="3" t="s">
        <v>79</v>
      </c>
      <c r="BS19" s="3" t="s">
        <v>79</v>
      </c>
      <c r="BT19" s="3" t="s">
        <v>79</v>
      </c>
      <c r="BU19" s="3" t="s">
        <v>95</v>
      </c>
      <c r="BV19" s="3" t="s">
        <v>346</v>
      </c>
      <c r="BW19" s="3" t="str">
        <f>HYPERLINK("https%3A%2F%2Fwww.webofscience.com%2Fwos%2Fwoscc%2Ffull-record%2FWOS:000574645300001","View Full Record in Web of Science")</f>
        <v>View Full Record in Web of Science</v>
      </c>
    </row>
    <row r="20" ht="12.75" customHeight="1">
      <c r="A20" s="5" t="s">
        <v>248</v>
      </c>
      <c r="B20" s="7"/>
      <c r="C20" s="5">
        <v>7.0</v>
      </c>
      <c r="D20" s="3" t="s">
        <v>77</v>
      </c>
      <c r="E20" s="3" t="s">
        <v>347</v>
      </c>
      <c r="F20" s="3" t="s">
        <v>79</v>
      </c>
      <c r="G20" s="3" t="s">
        <v>79</v>
      </c>
      <c r="H20" s="3" t="s">
        <v>80</v>
      </c>
      <c r="I20" s="3" t="s">
        <v>348</v>
      </c>
      <c r="J20" s="3" t="s">
        <v>79</v>
      </c>
      <c r="K20" s="3" t="s">
        <v>79</v>
      </c>
      <c r="L20" s="3" t="s">
        <v>349</v>
      </c>
      <c r="M20" s="3" t="s">
        <v>350</v>
      </c>
      <c r="N20" s="3" t="s">
        <v>79</v>
      </c>
      <c r="O20" s="3" t="s">
        <v>79</v>
      </c>
      <c r="P20" s="3" t="s">
        <v>79</v>
      </c>
      <c r="Q20" s="3" t="s">
        <v>84</v>
      </c>
      <c r="R20" s="3" t="s">
        <v>79</v>
      </c>
      <c r="S20" s="3" t="s">
        <v>79</v>
      </c>
      <c r="T20" s="3" t="s">
        <v>79</v>
      </c>
      <c r="U20" s="3" t="s">
        <v>79</v>
      </c>
      <c r="V20" s="3" t="s">
        <v>79</v>
      </c>
      <c r="W20" s="3" t="s">
        <v>351</v>
      </c>
      <c r="X20" s="3" t="s">
        <v>79</v>
      </c>
      <c r="Y20" s="3" t="s">
        <v>352</v>
      </c>
      <c r="Z20" s="3" t="s">
        <v>353</v>
      </c>
      <c r="AA20" s="3" t="s">
        <v>354</v>
      </c>
      <c r="AB20" s="3" t="s">
        <v>355</v>
      </c>
      <c r="AC20" s="3" t="s">
        <v>356</v>
      </c>
      <c r="AD20" s="3" t="s">
        <v>357</v>
      </c>
      <c r="AE20" s="3" t="s">
        <v>358</v>
      </c>
      <c r="AF20" s="3" t="s">
        <v>79</v>
      </c>
      <c r="AG20" s="3" t="s">
        <v>79</v>
      </c>
      <c r="AH20" s="3" t="s">
        <v>79</v>
      </c>
      <c r="AI20" s="3" t="s">
        <v>79</v>
      </c>
      <c r="AJ20" s="3">
        <v>14.0</v>
      </c>
      <c r="AK20" s="3">
        <v>4.0</v>
      </c>
      <c r="AL20" s="3">
        <v>4.0</v>
      </c>
      <c r="AM20" s="3" t="s">
        <v>79</v>
      </c>
      <c r="AN20" s="3" t="s">
        <v>79</v>
      </c>
      <c r="AO20" s="3" t="s">
        <v>79</v>
      </c>
      <c r="AP20" s="3" t="s">
        <v>79</v>
      </c>
      <c r="AQ20" s="3" t="s">
        <v>79</v>
      </c>
      <c r="AR20" s="3" t="s">
        <v>79</v>
      </c>
      <c r="AS20" s="3" t="s">
        <v>79</v>
      </c>
      <c r="AT20" s="3" t="s">
        <v>79</v>
      </c>
      <c r="AU20" s="3" t="s">
        <v>79</v>
      </c>
      <c r="AV20" s="3" t="s">
        <v>79</v>
      </c>
      <c r="AW20" s="3" t="s">
        <v>79</v>
      </c>
      <c r="AX20" s="3">
        <v>2014.0</v>
      </c>
      <c r="AY20" s="3" t="s">
        <v>79</v>
      </c>
      <c r="AZ20" s="3" t="s">
        <v>79</v>
      </c>
      <c r="BA20" s="3" t="s">
        <v>79</v>
      </c>
      <c r="BB20" s="3" t="s">
        <v>79</v>
      </c>
      <c r="BC20" s="3" t="s">
        <v>79</v>
      </c>
      <c r="BD20" s="3" t="s">
        <v>79</v>
      </c>
      <c r="BE20" s="3">
        <v>434.0</v>
      </c>
      <c r="BF20" s="3">
        <v>439.0</v>
      </c>
      <c r="BG20" s="3" t="s">
        <v>79</v>
      </c>
      <c r="BH20" s="3" t="s">
        <v>79</v>
      </c>
      <c r="BI20" s="3" t="s">
        <v>79</v>
      </c>
      <c r="BJ20" s="3" t="s">
        <v>79</v>
      </c>
      <c r="BK20" s="3" t="s">
        <v>79</v>
      </c>
      <c r="BL20" s="3" t="s">
        <v>79</v>
      </c>
      <c r="BM20" s="3" t="s">
        <v>79</v>
      </c>
      <c r="BN20" s="3" t="s">
        <v>79</v>
      </c>
      <c r="BO20" s="3" t="s">
        <v>275</v>
      </c>
      <c r="BP20" s="3" t="s">
        <v>79</v>
      </c>
      <c r="BQ20" s="3" t="s">
        <v>79</v>
      </c>
      <c r="BR20" s="3" t="s">
        <v>79</v>
      </c>
      <c r="BS20" s="3" t="s">
        <v>79</v>
      </c>
      <c r="BT20" s="3" t="s">
        <v>79</v>
      </c>
      <c r="BU20" s="3" t="s">
        <v>95</v>
      </c>
      <c r="BV20" s="3" t="s">
        <v>359</v>
      </c>
      <c r="BW20" s="3" t="str">
        <f>HYPERLINK("https%3A%2F%2Fwww.webofscience.com%2Fwos%2Fwoscc%2Ffull-record%2FWOS:000380454900060","View Full Record in Web of Science")</f>
        <v>View Full Record in Web of Science</v>
      </c>
    </row>
    <row r="21" ht="12.75" customHeight="1">
      <c r="A21" s="5" t="s">
        <v>360</v>
      </c>
      <c r="B21" s="7"/>
      <c r="C21" s="5">
        <v>7.0</v>
      </c>
      <c r="D21" s="3" t="s">
        <v>77</v>
      </c>
      <c r="E21" s="3" t="s">
        <v>361</v>
      </c>
      <c r="F21" s="3" t="s">
        <v>79</v>
      </c>
      <c r="G21" s="3" t="s">
        <v>79</v>
      </c>
      <c r="H21" s="3" t="s">
        <v>362</v>
      </c>
      <c r="I21" s="3" t="s">
        <v>363</v>
      </c>
      <c r="J21" s="3" t="s">
        <v>79</v>
      </c>
      <c r="K21" s="3" t="s">
        <v>79</v>
      </c>
      <c r="L21" s="3" t="s">
        <v>364</v>
      </c>
      <c r="M21" s="3" t="s">
        <v>365</v>
      </c>
      <c r="N21" s="3" t="s">
        <v>79</v>
      </c>
      <c r="O21" s="3" t="s">
        <v>79</v>
      </c>
      <c r="P21" s="3" t="s">
        <v>79</v>
      </c>
      <c r="Q21" s="3" t="s">
        <v>84</v>
      </c>
      <c r="R21" s="3" t="s">
        <v>79</v>
      </c>
      <c r="S21" s="3" t="s">
        <v>79</v>
      </c>
      <c r="T21" s="3" t="s">
        <v>79</v>
      </c>
      <c r="U21" s="3" t="s">
        <v>79</v>
      </c>
      <c r="V21" s="3" t="s">
        <v>79</v>
      </c>
      <c r="W21" s="3" t="s">
        <v>366</v>
      </c>
      <c r="X21" s="3" t="s">
        <v>367</v>
      </c>
      <c r="Y21" s="3" t="s">
        <v>368</v>
      </c>
      <c r="Z21" s="3" t="s">
        <v>369</v>
      </c>
      <c r="AA21" s="3" t="s">
        <v>370</v>
      </c>
      <c r="AB21" s="3" t="s">
        <v>371</v>
      </c>
      <c r="AC21" s="3" t="s">
        <v>372</v>
      </c>
      <c r="AD21" s="3" t="s">
        <v>373</v>
      </c>
      <c r="AE21" s="3" t="s">
        <v>79</v>
      </c>
      <c r="AF21" s="3" t="s">
        <v>79</v>
      </c>
      <c r="AG21" s="3" t="s">
        <v>79</v>
      </c>
      <c r="AH21" s="3" t="s">
        <v>79</v>
      </c>
      <c r="AI21" s="3" t="s">
        <v>79</v>
      </c>
      <c r="AJ21" s="3">
        <v>44.0</v>
      </c>
      <c r="AK21" s="3">
        <v>2.0</v>
      </c>
      <c r="AL21" s="3">
        <v>2.0</v>
      </c>
      <c r="AM21" s="3" t="s">
        <v>79</v>
      </c>
      <c r="AN21" s="3" t="s">
        <v>79</v>
      </c>
      <c r="AO21" s="3" t="s">
        <v>79</v>
      </c>
      <c r="AP21" s="3" t="s">
        <v>79</v>
      </c>
      <c r="AQ21" s="3" t="s">
        <v>79</v>
      </c>
      <c r="AR21" s="3" t="s">
        <v>79</v>
      </c>
      <c r="AS21" s="3" t="s">
        <v>79</v>
      </c>
      <c r="AT21" s="3" t="s">
        <v>79</v>
      </c>
      <c r="AU21" s="3" t="s">
        <v>79</v>
      </c>
      <c r="AV21" s="3" t="s">
        <v>79</v>
      </c>
      <c r="AW21" s="3" t="s">
        <v>79</v>
      </c>
      <c r="AX21" s="3">
        <v>2024.0</v>
      </c>
      <c r="AY21" s="3" t="s">
        <v>79</v>
      </c>
      <c r="AZ21" s="3" t="s">
        <v>79</v>
      </c>
      <c r="BA21" s="3" t="s">
        <v>79</v>
      </c>
      <c r="BB21" s="3" t="s">
        <v>79</v>
      </c>
      <c r="BC21" s="3" t="s">
        <v>79</v>
      </c>
      <c r="BD21" s="3" t="s">
        <v>79</v>
      </c>
      <c r="BE21" s="3">
        <v>439.0</v>
      </c>
      <c r="BF21" s="3">
        <v>443.0</v>
      </c>
      <c r="BG21" s="3" t="s">
        <v>79</v>
      </c>
      <c r="BH21" s="3" t="s">
        <v>374</v>
      </c>
      <c r="BI21" s="8" t="str">
        <f>HYPERLINK("http://dx.doi.org/10.1145/3632410.3632441","http://dx.doi.org/10.1145/3632410.3632441")</f>
        <v>http://dx.doi.org/10.1145/3632410.3632441</v>
      </c>
      <c r="BJ21" s="3" t="s">
        <v>79</v>
      </c>
      <c r="BK21" s="3" t="s">
        <v>79</v>
      </c>
      <c r="BL21" s="3" t="s">
        <v>79</v>
      </c>
      <c r="BM21" s="3" t="s">
        <v>79</v>
      </c>
      <c r="BN21" s="3" t="s">
        <v>79</v>
      </c>
      <c r="BO21" s="3" t="s">
        <v>275</v>
      </c>
      <c r="BP21" s="3" t="s">
        <v>79</v>
      </c>
      <c r="BQ21" s="3" t="s">
        <v>79</v>
      </c>
      <c r="BR21" s="3" t="s">
        <v>79</v>
      </c>
      <c r="BS21" s="3" t="s">
        <v>79</v>
      </c>
      <c r="BT21" s="3" t="s">
        <v>79</v>
      </c>
      <c r="BU21" s="3" t="s">
        <v>95</v>
      </c>
      <c r="BV21" s="3" t="s">
        <v>375</v>
      </c>
      <c r="BW21" s="3" t="str">
        <f>HYPERLINK("https%3A%2F%2Fwww.webofscience.com%2Fwos%2Fwoscc%2Ffull-record%2FWOS:001160848200054","View Full Record in Web of Science")</f>
        <v>View Full Record in Web of Science</v>
      </c>
    </row>
    <row r="22" ht="12.75" customHeight="1">
      <c r="A22" s="5" t="s">
        <v>248</v>
      </c>
      <c r="B22" s="7"/>
      <c r="C22" s="5">
        <v>9.0</v>
      </c>
      <c r="D22" s="3" t="s">
        <v>77</v>
      </c>
      <c r="E22" s="3" t="s">
        <v>376</v>
      </c>
      <c r="F22" s="3" t="s">
        <v>79</v>
      </c>
      <c r="G22" s="3" t="s">
        <v>79</v>
      </c>
      <c r="H22" s="3" t="s">
        <v>80</v>
      </c>
      <c r="I22" s="3" t="s">
        <v>377</v>
      </c>
      <c r="J22" s="3" t="s">
        <v>79</v>
      </c>
      <c r="K22" s="3" t="s">
        <v>79</v>
      </c>
      <c r="L22" s="3" t="s">
        <v>378</v>
      </c>
      <c r="M22" s="3" t="s">
        <v>379</v>
      </c>
      <c r="N22" s="3" t="s">
        <v>380</v>
      </c>
      <c r="O22" s="3" t="s">
        <v>79</v>
      </c>
      <c r="P22" s="3" t="s">
        <v>79</v>
      </c>
      <c r="Q22" s="3" t="s">
        <v>84</v>
      </c>
      <c r="R22" s="3" t="s">
        <v>79</v>
      </c>
      <c r="S22" s="3" t="s">
        <v>79</v>
      </c>
      <c r="T22" s="3" t="s">
        <v>79</v>
      </c>
      <c r="U22" s="3" t="s">
        <v>79</v>
      </c>
      <c r="V22" s="3" t="s">
        <v>79</v>
      </c>
      <c r="W22" s="3" t="s">
        <v>381</v>
      </c>
      <c r="X22" s="3" t="s">
        <v>79</v>
      </c>
      <c r="Y22" s="3" t="s">
        <v>382</v>
      </c>
      <c r="Z22" s="3" t="s">
        <v>383</v>
      </c>
      <c r="AA22" s="3" t="s">
        <v>384</v>
      </c>
      <c r="AB22" s="3" t="s">
        <v>385</v>
      </c>
      <c r="AC22" s="3" t="s">
        <v>386</v>
      </c>
      <c r="AD22" s="3" t="s">
        <v>387</v>
      </c>
      <c r="AE22" s="3" t="s">
        <v>79</v>
      </c>
      <c r="AF22" s="3" t="s">
        <v>79</v>
      </c>
      <c r="AG22" s="3" t="s">
        <v>79</v>
      </c>
      <c r="AH22" s="3" t="s">
        <v>79</v>
      </c>
      <c r="AI22" s="3" t="s">
        <v>79</v>
      </c>
      <c r="AJ22" s="3">
        <v>6.0</v>
      </c>
      <c r="AK22" s="3">
        <v>3.0</v>
      </c>
      <c r="AL22" s="3">
        <v>3.0</v>
      </c>
      <c r="AM22" s="3" t="s">
        <v>79</v>
      </c>
      <c r="AN22" s="3" t="s">
        <v>79</v>
      </c>
      <c r="AO22" s="3" t="s">
        <v>79</v>
      </c>
      <c r="AP22" s="3" t="s">
        <v>79</v>
      </c>
      <c r="AQ22" s="3" t="s">
        <v>79</v>
      </c>
      <c r="AR22" s="3" t="s">
        <v>79</v>
      </c>
      <c r="AS22" s="3" t="s">
        <v>79</v>
      </c>
      <c r="AT22" s="3" t="s">
        <v>79</v>
      </c>
      <c r="AU22" s="3" t="s">
        <v>79</v>
      </c>
      <c r="AV22" s="3" t="s">
        <v>79</v>
      </c>
      <c r="AW22" s="3" t="s">
        <v>79</v>
      </c>
      <c r="AX22" s="3">
        <v>2022.0</v>
      </c>
      <c r="AY22" s="3" t="s">
        <v>79</v>
      </c>
      <c r="AZ22" s="3" t="s">
        <v>79</v>
      </c>
      <c r="BA22" s="3" t="s">
        <v>79</v>
      </c>
      <c r="BB22" s="3" t="s">
        <v>79</v>
      </c>
      <c r="BC22" s="3" t="s">
        <v>79</v>
      </c>
      <c r="BD22" s="3" t="s">
        <v>79</v>
      </c>
      <c r="BE22" s="3" t="s">
        <v>79</v>
      </c>
      <c r="BF22" s="3" t="s">
        <v>79</v>
      </c>
      <c r="BG22" s="3" t="s">
        <v>79</v>
      </c>
      <c r="BH22" s="3" t="s">
        <v>388</v>
      </c>
      <c r="BI22" s="8" t="str">
        <f>HYPERLINK("http://dx.doi.org/10.1109/SCISISIS55246.2022.10002132","http://dx.doi.org/10.1109/SCISISIS55246.2022.10002132")</f>
        <v>http://dx.doi.org/10.1109/SCISISIS55246.2022.10002132</v>
      </c>
      <c r="BJ22" s="3" t="s">
        <v>79</v>
      </c>
      <c r="BK22" s="3" t="s">
        <v>79</v>
      </c>
      <c r="BL22" s="3" t="s">
        <v>79</v>
      </c>
      <c r="BM22" s="3" t="s">
        <v>79</v>
      </c>
      <c r="BN22" s="3" t="s">
        <v>79</v>
      </c>
      <c r="BO22" s="3" t="s">
        <v>389</v>
      </c>
      <c r="BP22" s="3" t="s">
        <v>79</v>
      </c>
      <c r="BQ22" s="3" t="s">
        <v>79</v>
      </c>
      <c r="BR22" s="3" t="s">
        <v>79</v>
      </c>
      <c r="BS22" s="3" t="s">
        <v>79</v>
      </c>
      <c r="BT22" s="3" t="s">
        <v>79</v>
      </c>
      <c r="BU22" s="3" t="s">
        <v>95</v>
      </c>
      <c r="BV22" s="3" t="s">
        <v>390</v>
      </c>
      <c r="BW22" s="3" t="str">
        <f>HYPERLINK("https%3A%2F%2Fwww.webofscience.com%2Fwos%2Fwoscc%2Ffull-record%2FWOS:000932791900202","View Full Record in Web of Science")</f>
        <v>View Full Record in Web of Science</v>
      </c>
    </row>
    <row r="23" ht="12.75" customHeight="1">
      <c r="A23" s="5" t="s">
        <v>391</v>
      </c>
      <c r="B23" s="7"/>
      <c r="C23" s="5">
        <v>8.0</v>
      </c>
      <c r="D23" s="3" t="s">
        <v>185</v>
      </c>
      <c r="E23" s="3" t="s">
        <v>392</v>
      </c>
      <c r="F23" s="3" t="s">
        <v>79</v>
      </c>
      <c r="G23" s="3" t="s">
        <v>79</v>
      </c>
      <c r="H23" s="3" t="s">
        <v>79</v>
      </c>
      <c r="I23" s="3" t="s">
        <v>393</v>
      </c>
      <c r="J23" s="3" t="s">
        <v>79</v>
      </c>
      <c r="K23" s="3" t="s">
        <v>79</v>
      </c>
      <c r="L23" s="3" t="s">
        <v>394</v>
      </c>
      <c r="M23" s="3" t="s">
        <v>395</v>
      </c>
      <c r="N23" s="3" t="s">
        <v>79</v>
      </c>
      <c r="O23" s="3" t="s">
        <v>79</v>
      </c>
      <c r="P23" s="3" t="s">
        <v>79</v>
      </c>
      <c r="Q23" s="3" t="s">
        <v>190</v>
      </c>
      <c r="R23" s="3" t="s">
        <v>79</v>
      </c>
      <c r="S23" s="3" t="s">
        <v>79</v>
      </c>
      <c r="T23" s="3" t="s">
        <v>79</v>
      </c>
      <c r="U23" s="3" t="s">
        <v>79</v>
      </c>
      <c r="V23" s="3" t="s">
        <v>79</v>
      </c>
      <c r="W23" s="3" t="s">
        <v>79</v>
      </c>
      <c r="X23" s="3" t="s">
        <v>236</v>
      </c>
      <c r="Y23" s="3" t="s">
        <v>396</v>
      </c>
      <c r="Z23" s="3" t="s">
        <v>397</v>
      </c>
      <c r="AA23" s="3" t="s">
        <v>398</v>
      </c>
      <c r="AB23" s="3" t="s">
        <v>399</v>
      </c>
      <c r="AC23" s="3" t="s">
        <v>400</v>
      </c>
      <c r="AD23" s="3" t="s">
        <v>401</v>
      </c>
      <c r="AE23" s="3" t="s">
        <v>402</v>
      </c>
      <c r="AF23" s="3" t="s">
        <v>79</v>
      </c>
      <c r="AG23" s="3" t="s">
        <v>79</v>
      </c>
      <c r="AH23" s="3" t="s">
        <v>79</v>
      </c>
      <c r="AI23" s="3" t="s">
        <v>79</v>
      </c>
      <c r="AJ23" s="3">
        <v>41.0</v>
      </c>
      <c r="AK23" s="3">
        <v>194.0</v>
      </c>
      <c r="AL23" s="3">
        <v>214.0</v>
      </c>
      <c r="AM23" s="3" t="s">
        <v>79</v>
      </c>
      <c r="AN23" s="3" t="s">
        <v>79</v>
      </c>
      <c r="AO23" s="3" t="s">
        <v>79</v>
      </c>
      <c r="AP23" s="3" t="s">
        <v>79</v>
      </c>
      <c r="AQ23" s="3" t="s">
        <v>79</v>
      </c>
      <c r="AR23" s="3" t="s">
        <v>79</v>
      </c>
      <c r="AS23" s="3" t="s">
        <v>79</v>
      </c>
      <c r="AT23" s="3" t="s">
        <v>79</v>
      </c>
      <c r="AU23" s="3" t="s">
        <v>79</v>
      </c>
      <c r="AV23" s="3" t="s">
        <v>79</v>
      </c>
      <c r="AW23" s="3" t="s">
        <v>403</v>
      </c>
      <c r="AX23" s="3">
        <v>2018.0</v>
      </c>
      <c r="AY23" s="3">
        <v>95.0</v>
      </c>
      <c r="AZ23" s="3" t="s">
        <v>79</v>
      </c>
      <c r="BA23" s="3" t="s">
        <v>79</v>
      </c>
      <c r="BB23" s="3" t="s">
        <v>79</v>
      </c>
      <c r="BC23" s="3" t="s">
        <v>79</v>
      </c>
      <c r="BD23" s="3" t="s">
        <v>79</v>
      </c>
      <c r="BE23" s="3">
        <v>201.0</v>
      </c>
      <c r="BF23" s="3">
        <v>211.0</v>
      </c>
      <c r="BG23" s="3" t="s">
        <v>79</v>
      </c>
      <c r="BH23" s="3" t="s">
        <v>404</v>
      </c>
      <c r="BI23" s="8" t="str">
        <f>HYPERLINK("http://dx.doi.org/10.1016/j.eswa.2017.11.007","http://dx.doi.org/10.1016/j.eswa.2017.11.007")</f>
        <v>http://dx.doi.org/10.1016/j.eswa.2017.11.007</v>
      </c>
      <c r="BJ23" s="3" t="s">
        <v>79</v>
      </c>
      <c r="BK23" s="3" t="s">
        <v>79</v>
      </c>
      <c r="BL23" s="3" t="s">
        <v>79</v>
      </c>
      <c r="BM23" s="3" t="s">
        <v>79</v>
      </c>
      <c r="BN23" s="3" t="s">
        <v>79</v>
      </c>
      <c r="BO23" s="3" t="s">
        <v>405</v>
      </c>
      <c r="BP23" s="3" t="s">
        <v>79</v>
      </c>
      <c r="BQ23" s="3" t="s">
        <v>79</v>
      </c>
      <c r="BR23" s="3" t="s">
        <v>79</v>
      </c>
      <c r="BS23" s="3" t="s">
        <v>79</v>
      </c>
      <c r="BT23" s="3" t="s">
        <v>79</v>
      </c>
      <c r="BU23" s="3" t="s">
        <v>95</v>
      </c>
      <c r="BV23" s="3" t="s">
        <v>406</v>
      </c>
      <c r="BW23" s="3" t="str">
        <f>HYPERLINK("https%3A%2F%2Fwww.webofscience.com%2Fwos%2Fwoscc%2Ffull-record%2FWOS:000423635700016","View Full Record in Web of Science")</f>
        <v>View Full Record in Web of Science</v>
      </c>
    </row>
    <row r="25" ht="12.75" customHeight="1">
      <c r="A25" s="5" t="s">
        <v>391</v>
      </c>
      <c r="B25" s="7"/>
      <c r="C25" s="5">
        <v>9.0</v>
      </c>
      <c r="D25" s="3" t="s">
        <v>185</v>
      </c>
      <c r="E25" s="3" t="s">
        <v>407</v>
      </c>
      <c r="F25" s="3" t="s">
        <v>79</v>
      </c>
      <c r="G25" s="3" t="s">
        <v>79</v>
      </c>
      <c r="H25" s="3" t="s">
        <v>79</v>
      </c>
      <c r="I25" s="3" t="s">
        <v>408</v>
      </c>
      <c r="J25" s="3" t="s">
        <v>79</v>
      </c>
      <c r="K25" s="3" t="s">
        <v>79</v>
      </c>
      <c r="L25" s="3" t="s">
        <v>409</v>
      </c>
      <c r="M25" s="3" t="s">
        <v>410</v>
      </c>
      <c r="N25" s="3" t="s">
        <v>79</v>
      </c>
      <c r="O25" s="3" t="s">
        <v>79</v>
      </c>
      <c r="P25" s="3" t="s">
        <v>79</v>
      </c>
      <c r="Q25" s="3" t="s">
        <v>190</v>
      </c>
      <c r="R25" s="3" t="s">
        <v>79</v>
      </c>
      <c r="S25" s="3" t="s">
        <v>79</v>
      </c>
      <c r="T25" s="3" t="s">
        <v>79</v>
      </c>
      <c r="U25" s="3" t="s">
        <v>79</v>
      </c>
      <c r="V25" s="3" t="s">
        <v>79</v>
      </c>
      <c r="W25" s="3" t="s">
        <v>411</v>
      </c>
      <c r="X25" s="3" t="s">
        <v>412</v>
      </c>
      <c r="Y25" s="3" t="s">
        <v>413</v>
      </c>
      <c r="Z25" s="3" t="s">
        <v>414</v>
      </c>
      <c r="AA25" s="3" t="s">
        <v>415</v>
      </c>
      <c r="AB25" s="3" t="s">
        <v>416</v>
      </c>
      <c r="AC25" s="3" t="s">
        <v>417</v>
      </c>
      <c r="AD25" s="3" t="s">
        <v>418</v>
      </c>
      <c r="AE25" s="3" t="s">
        <v>419</v>
      </c>
      <c r="AF25" s="3" t="s">
        <v>79</v>
      </c>
      <c r="AG25" s="3" t="s">
        <v>79</v>
      </c>
      <c r="AH25" s="3" t="s">
        <v>79</v>
      </c>
      <c r="AI25" s="3" t="s">
        <v>79</v>
      </c>
      <c r="AJ25" s="3">
        <v>68.0</v>
      </c>
      <c r="AK25" s="3">
        <v>30.0</v>
      </c>
      <c r="AL25" s="3">
        <v>34.0</v>
      </c>
      <c r="AM25" s="3" t="s">
        <v>79</v>
      </c>
      <c r="AN25" s="3" t="s">
        <v>79</v>
      </c>
      <c r="AO25" s="3" t="s">
        <v>79</v>
      </c>
      <c r="AP25" s="3" t="s">
        <v>79</v>
      </c>
      <c r="AQ25" s="3" t="s">
        <v>79</v>
      </c>
      <c r="AR25" s="3" t="s">
        <v>79</v>
      </c>
      <c r="AS25" s="3" t="s">
        <v>79</v>
      </c>
      <c r="AT25" s="3" t="s">
        <v>79</v>
      </c>
      <c r="AU25" s="3" t="s">
        <v>79</v>
      </c>
      <c r="AV25" s="3" t="s">
        <v>79</v>
      </c>
      <c r="AW25" s="3" t="s">
        <v>79</v>
      </c>
      <c r="AX25" s="3">
        <v>2022.0</v>
      </c>
      <c r="AY25" s="3">
        <v>30.0</v>
      </c>
      <c r="AZ25" s="3" t="s">
        <v>79</v>
      </c>
      <c r="BA25" s="3" t="s">
        <v>79</v>
      </c>
      <c r="BB25" s="3" t="s">
        <v>79</v>
      </c>
      <c r="BC25" s="3" t="s">
        <v>79</v>
      </c>
      <c r="BD25" s="3" t="s">
        <v>79</v>
      </c>
      <c r="BE25" s="3">
        <v>496.0</v>
      </c>
      <c r="BF25" s="3">
        <v>508.0</v>
      </c>
      <c r="BG25" s="3" t="s">
        <v>79</v>
      </c>
      <c r="BH25" s="3" t="s">
        <v>420</v>
      </c>
      <c r="BI25" s="8" t="str">
        <f>HYPERLINK("http://dx.doi.org/10.1109/TNSRE.2022.3154369","http://dx.doi.org/10.1109/TNSRE.2022.3154369")</f>
        <v>http://dx.doi.org/10.1109/TNSRE.2022.3154369</v>
      </c>
      <c r="BJ25" s="3" t="s">
        <v>79</v>
      </c>
      <c r="BK25" s="3" t="s">
        <v>79</v>
      </c>
      <c r="BL25" s="3" t="s">
        <v>79</v>
      </c>
      <c r="BM25" s="3" t="s">
        <v>79</v>
      </c>
      <c r="BN25" s="3" t="s">
        <v>79</v>
      </c>
      <c r="BO25" s="3" t="s">
        <v>109</v>
      </c>
      <c r="BP25" s="3" t="s">
        <v>79</v>
      </c>
      <c r="BQ25" s="3" t="s">
        <v>79</v>
      </c>
      <c r="BR25" s="3" t="s">
        <v>79</v>
      </c>
      <c r="BS25" s="3" t="s">
        <v>79</v>
      </c>
      <c r="BT25" s="3" t="s">
        <v>79</v>
      </c>
      <c r="BU25" s="3" t="s">
        <v>95</v>
      </c>
      <c r="BV25" s="3" t="s">
        <v>421</v>
      </c>
      <c r="BW25" s="3" t="str">
        <f>HYPERLINK("https%3A%2F%2Fwww.webofscience.com%2Fwos%2Fwoscc%2Ffull-record%2FWOS:000767839400002","View Full Record in Web of Science")</f>
        <v>View Full Record in Web of Science</v>
      </c>
    </row>
    <row r="26" ht="12.75" customHeight="1">
      <c r="A26" s="5" t="s">
        <v>422</v>
      </c>
      <c r="B26" s="9" t="s">
        <v>423</v>
      </c>
      <c r="C26" s="5"/>
      <c r="D26" s="3" t="s">
        <v>77</v>
      </c>
      <c r="E26" s="3" t="s">
        <v>424</v>
      </c>
      <c r="F26" s="3" t="s">
        <v>79</v>
      </c>
      <c r="G26" s="3" t="s">
        <v>79</v>
      </c>
      <c r="H26" s="3" t="s">
        <v>80</v>
      </c>
      <c r="I26" s="3" t="s">
        <v>425</v>
      </c>
      <c r="J26" s="3" t="s">
        <v>79</v>
      </c>
      <c r="K26" s="3" t="s">
        <v>79</v>
      </c>
      <c r="L26" s="3" t="s">
        <v>426</v>
      </c>
      <c r="M26" s="3" t="s">
        <v>427</v>
      </c>
      <c r="N26" s="3" t="s">
        <v>428</v>
      </c>
      <c r="O26" s="3" t="s">
        <v>79</v>
      </c>
      <c r="P26" s="3" t="s">
        <v>79</v>
      </c>
      <c r="Q26" s="3" t="s">
        <v>84</v>
      </c>
      <c r="R26" s="3" t="s">
        <v>79</v>
      </c>
      <c r="S26" s="3" t="s">
        <v>79</v>
      </c>
      <c r="T26" s="3" t="s">
        <v>79</v>
      </c>
      <c r="U26" s="3" t="s">
        <v>79</v>
      </c>
      <c r="V26" s="3" t="s">
        <v>79</v>
      </c>
      <c r="W26" s="3" t="s">
        <v>429</v>
      </c>
      <c r="X26" s="3" t="s">
        <v>430</v>
      </c>
      <c r="Y26" s="3" t="s">
        <v>431</v>
      </c>
      <c r="Z26" s="3" t="s">
        <v>432</v>
      </c>
      <c r="AA26" s="3" t="s">
        <v>433</v>
      </c>
      <c r="AB26" s="3" t="s">
        <v>434</v>
      </c>
      <c r="AC26" s="3" t="s">
        <v>435</v>
      </c>
      <c r="AD26" s="3" t="s">
        <v>436</v>
      </c>
      <c r="AE26" s="3" t="s">
        <v>437</v>
      </c>
      <c r="AF26" s="3" t="s">
        <v>79</v>
      </c>
      <c r="AG26" s="3" t="s">
        <v>79</v>
      </c>
      <c r="AH26" s="3" t="s">
        <v>79</v>
      </c>
      <c r="AI26" s="3" t="s">
        <v>79</v>
      </c>
      <c r="AJ26" s="3">
        <v>20.0</v>
      </c>
      <c r="AK26" s="3">
        <v>5.0</v>
      </c>
      <c r="AL26" s="3">
        <v>5.0</v>
      </c>
      <c r="AM26" s="3" t="s">
        <v>79</v>
      </c>
      <c r="AN26" s="3" t="s">
        <v>79</v>
      </c>
      <c r="AO26" s="3" t="s">
        <v>79</v>
      </c>
      <c r="AP26" s="3" t="s">
        <v>79</v>
      </c>
      <c r="AQ26" s="3" t="s">
        <v>79</v>
      </c>
      <c r="AR26" s="3" t="s">
        <v>79</v>
      </c>
      <c r="AS26" s="3" t="s">
        <v>79</v>
      </c>
      <c r="AT26" s="3" t="s">
        <v>79</v>
      </c>
      <c r="AU26" s="3" t="s">
        <v>79</v>
      </c>
      <c r="AV26" s="3" t="s">
        <v>79</v>
      </c>
      <c r="AW26" s="3" t="s">
        <v>79</v>
      </c>
      <c r="AX26" s="3">
        <v>2014.0</v>
      </c>
      <c r="AY26" s="3" t="s">
        <v>79</v>
      </c>
      <c r="AZ26" s="3" t="s">
        <v>79</v>
      </c>
      <c r="BA26" s="3" t="s">
        <v>79</v>
      </c>
      <c r="BB26" s="3" t="s">
        <v>79</v>
      </c>
      <c r="BC26" s="3" t="s">
        <v>79</v>
      </c>
      <c r="BD26" s="3" t="s">
        <v>79</v>
      </c>
      <c r="BE26" s="3" t="s">
        <v>79</v>
      </c>
      <c r="BF26" s="3" t="s">
        <v>79</v>
      </c>
      <c r="BG26" s="3" t="s">
        <v>79</v>
      </c>
      <c r="BH26" s="3" t="s">
        <v>79</v>
      </c>
      <c r="BI26" s="3" t="s">
        <v>79</v>
      </c>
      <c r="BJ26" s="3" t="s">
        <v>79</v>
      </c>
      <c r="BK26" s="3" t="s">
        <v>79</v>
      </c>
      <c r="BL26" s="3" t="s">
        <v>79</v>
      </c>
      <c r="BM26" s="3" t="s">
        <v>79</v>
      </c>
      <c r="BN26" s="3" t="s">
        <v>79</v>
      </c>
      <c r="BO26" s="3" t="s">
        <v>438</v>
      </c>
      <c r="BP26" s="3" t="s">
        <v>79</v>
      </c>
      <c r="BQ26" s="3" t="s">
        <v>79</v>
      </c>
      <c r="BR26" s="3" t="s">
        <v>79</v>
      </c>
      <c r="BS26" s="3" t="s">
        <v>79</v>
      </c>
      <c r="BT26" s="3" t="s">
        <v>79</v>
      </c>
      <c r="BU26" s="3" t="s">
        <v>95</v>
      </c>
      <c r="BV26" s="3" t="s">
        <v>439</v>
      </c>
      <c r="BW26" s="3" t="str">
        <f>HYPERLINK("https%3A%2F%2Fwww.webofscience.com%2Fwos%2Fwoscc%2Ffull-record%2FWOS:000345738000089","View Full Record in Web of Science")</f>
        <v>View Full Record in Web of Science</v>
      </c>
    </row>
    <row r="27" ht="12.75" customHeight="1">
      <c r="A27" s="5" t="s">
        <v>391</v>
      </c>
      <c r="B27" s="7"/>
      <c r="C27" s="5">
        <v>9.0</v>
      </c>
      <c r="D27" s="3" t="s">
        <v>77</v>
      </c>
      <c r="E27" s="3" t="s">
        <v>440</v>
      </c>
      <c r="F27" s="3" t="s">
        <v>79</v>
      </c>
      <c r="G27" s="3" t="s">
        <v>441</v>
      </c>
      <c r="H27" s="3" t="s">
        <v>79</v>
      </c>
      <c r="I27" s="3" t="s">
        <v>442</v>
      </c>
      <c r="J27" s="3" t="s">
        <v>79</v>
      </c>
      <c r="K27" s="3" t="s">
        <v>79</v>
      </c>
      <c r="L27" s="3" t="s">
        <v>443</v>
      </c>
      <c r="M27" s="3" t="s">
        <v>444</v>
      </c>
      <c r="N27" s="3" t="s">
        <v>445</v>
      </c>
      <c r="O27" s="3" t="s">
        <v>79</v>
      </c>
      <c r="P27" s="3" t="s">
        <v>79</v>
      </c>
      <c r="Q27" s="3" t="s">
        <v>84</v>
      </c>
      <c r="R27" s="3" t="s">
        <v>79</v>
      </c>
      <c r="S27" s="3" t="s">
        <v>79</v>
      </c>
      <c r="T27" s="3" t="s">
        <v>79</v>
      </c>
      <c r="U27" s="3" t="s">
        <v>79</v>
      </c>
      <c r="V27" s="3" t="s">
        <v>79</v>
      </c>
      <c r="W27" s="3" t="s">
        <v>446</v>
      </c>
      <c r="X27" s="3" t="s">
        <v>447</v>
      </c>
      <c r="Y27" s="3" t="s">
        <v>448</v>
      </c>
      <c r="Z27" s="3" t="s">
        <v>449</v>
      </c>
      <c r="AA27" s="3" t="s">
        <v>79</v>
      </c>
      <c r="AB27" s="3" t="s">
        <v>450</v>
      </c>
      <c r="AC27" s="3" t="s">
        <v>451</v>
      </c>
      <c r="AD27" s="3" t="s">
        <v>79</v>
      </c>
      <c r="AE27" s="3" t="s">
        <v>452</v>
      </c>
      <c r="AF27" s="3" t="s">
        <v>79</v>
      </c>
      <c r="AG27" s="3" t="s">
        <v>79</v>
      </c>
      <c r="AH27" s="3" t="s">
        <v>79</v>
      </c>
      <c r="AI27" s="3" t="s">
        <v>79</v>
      </c>
      <c r="AJ27" s="3">
        <v>19.0</v>
      </c>
      <c r="AK27" s="3">
        <v>1.0</v>
      </c>
      <c r="AL27" s="3">
        <v>2.0</v>
      </c>
      <c r="AM27" s="3" t="s">
        <v>79</v>
      </c>
      <c r="AN27" s="3" t="s">
        <v>79</v>
      </c>
      <c r="AO27" s="3" t="s">
        <v>79</v>
      </c>
      <c r="AP27" s="3" t="s">
        <v>79</v>
      </c>
      <c r="AQ27" s="3" t="s">
        <v>79</v>
      </c>
      <c r="AR27" s="3" t="s">
        <v>79</v>
      </c>
      <c r="AS27" s="3" t="s">
        <v>79</v>
      </c>
      <c r="AT27" s="3" t="s">
        <v>79</v>
      </c>
      <c r="AU27" s="3" t="s">
        <v>79</v>
      </c>
      <c r="AV27" s="3" t="s">
        <v>79</v>
      </c>
      <c r="AW27" s="3" t="s">
        <v>79</v>
      </c>
      <c r="AX27" s="3">
        <v>2018.0</v>
      </c>
      <c r="AY27" s="3">
        <v>10806.0</v>
      </c>
      <c r="AZ27" s="3" t="s">
        <v>79</v>
      </c>
      <c r="BA27" s="3" t="s">
        <v>79</v>
      </c>
      <c r="BB27" s="3" t="s">
        <v>79</v>
      </c>
      <c r="BC27" s="3" t="s">
        <v>79</v>
      </c>
      <c r="BD27" s="3" t="s">
        <v>79</v>
      </c>
      <c r="BE27" s="3" t="s">
        <v>79</v>
      </c>
      <c r="BF27" s="3" t="s">
        <v>79</v>
      </c>
      <c r="BG27" s="3" t="s">
        <v>453</v>
      </c>
      <c r="BH27" s="3" t="s">
        <v>454</v>
      </c>
      <c r="BI27" s="8" t="str">
        <f>HYPERLINK("http://dx.doi.org/10.1117/12.2503307","http://dx.doi.org/10.1117/12.2503307")</f>
        <v>http://dx.doi.org/10.1117/12.2503307</v>
      </c>
      <c r="BJ27" s="3" t="s">
        <v>79</v>
      </c>
      <c r="BK27" s="3" t="s">
        <v>79</v>
      </c>
      <c r="BL27" s="3" t="s">
        <v>79</v>
      </c>
      <c r="BM27" s="3" t="s">
        <v>79</v>
      </c>
      <c r="BN27" s="3" t="s">
        <v>79</v>
      </c>
      <c r="BO27" s="3" t="s">
        <v>455</v>
      </c>
      <c r="BP27" s="3" t="s">
        <v>79</v>
      </c>
      <c r="BQ27" s="3" t="s">
        <v>79</v>
      </c>
      <c r="BR27" s="3" t="s">
        <v>79</v>
      </c>
      <c r="BS27" s="3" t="s">
        <v>79</v>
      </c>
      <c r="BT27" s="3" t="s">
        <v>79</v>
      </c>
      <c r="BU27" s="3" t="s">
        <v>95</v>
      </c>
      <c r="BV27" s="3" t="s">
        <v>456</v>
      </c>
      <c r="BW27" s="3" t="str">
        <f>HYPERLINK("https%3A%2F%2Fwww.webofscience.com%2Fwos%2Fwoscc%2Ffull-record%2FWOS:000452819600248","View Full Record in Web of Science")</f>
        <v>View Full Record in Web of Science</v>
      </c>
    </row>
    <row r="28" ht="12.75" customHeight="1">
      <c r="A28" s="5" t="s">
        <v>391</v>
      </c>
      <c r="B28" s="7"/>
      <c r="C28" s="5">
        <v>10.0</v>
      </c>
      <c r="D28" s="3" t="s">
        <v>77</v>
      </c>
      <c r="E28" s="3" t="s">
        <v>457</v>
      </c>
      <c r="F28" s="3" t="s">
        <v>79</v>
      </c>
      <c r="G28" s="3" t="s">
        <v>79</v>
      </c>
      <c r="H28" s="3" t="s">
        <v>362</v>
      </c>
      <c r="I28" s="3" t="s">
        <v>458</v>
      </c>
      <c r="J28" s="3" t="s">
        <v>79</v>
      </c>
      <c r="K28" s="3" t="s">
        <v>79</v>
      </c>
      <c r="L28" s="3" t="s">
        <v>459</v>
      </c>
      <c r="M28" s="3" t="s">
        <v>460</v>
      </c>
      <c r="N28" s="3" t="s">
        <v>79</v>
      </c>
      <c r="O28" s="3" t="s">
        <v>79</v>
      </c>
      <c r="P28" s="3" t="s">
        <v>79</v>
      </c>
      <c r="Q28" s="3" t="s">
        <v>84</v>
      </c>
      <c r="R28" s="3" t="s">
        <v>79</v>
      </c>
      <c r="S28" s="3" t="s">
        <v>79</v>
      </c>
      <c r="T28" s="3" t="s">
        <v>79</v>
      </c>
      <c r="U28" s="3" t="s">
        <v>79</v>
      </c>
      <c r="V28" s="3" t="s">
        <v>79</v>
      </c>
      <c r="W28" s="3" t="s">
        <v>461</v>
      </c>
      <c r="X28" s="3" t="s">
        <v>79</v>
      </c>
      <c r="Y28" s="3" t="s">
        <v>462</v>
      </c>
      <c r="Z28" s="3" t="s">
        <v>463</v>
      </c>
      <c r="AA28" s="3" t="s">
        <v>464</v>
      </c>
      <c r="AB28" s="3" t="s">
        <v>465</v>
      </c>
      <c r="AC28" s="3" t="s">
        <v>466</v>
      </c>
      <c r="AD28" s="3" t="s">
        <v>79</v>
      </c>
      <c r="AE28" s="3" t="s">
        <v>79</v>
      </c>
      <c r="AF28" s="3" t="s">
        <v>79</v>
      </c>
      <c r="AG28" s="3" t="s">
        <v>79</v>
      </c>
      <c r="AH28" s="3" t="s">
        <v>79</v>
      </c>
      <c r="AI28" s="3" t="s">
        <v>79</v>
      </c>
      <c r="AJ28" s="3">
        <v>13.0</v>
      </c>
      <c r="AK28" s="3">
        <v>2.0</v>
      </c>
      <c r="AL28" s="3">
        <v>2.0</v>
      </c>
      <c r="AM28" s="3" t="s">
        <v>79</v>
      </c>
      <c r="AN28" s="3" t="s">
        <v>79</v>
      </c>
      <c r="AO28" s="3" t="s">
        <v>79</v>
      </c>
      <c r="AP28" s="3" t="s">
        <v>79</v>
      </c>
      <c r="AQ28" s="3" t="s">
        <v>79</v>
      </c>
      <c r="AR28" s="3" t="s">
        <v>79</v>
      </c>
      <c r="AS28" s="3" t="s">
        <v>79</v>
      </c>
      <c r="AT28" s="3" t="s">
        <v>79</v>
      </c>
      <c r="AU28" s="3" t="s">
        <v>79</v>
      </c>
      <c r="AV28" s="3" t="s">
        <v>79</v>
      </c>
      <c r="AW28" s="3" t="s">
        <v>79</v>
      </c>
      <c r="AX28" s="3">
        <v>2024.0</v>
      </c>
      <c r="AY28" s="3" t="s">
        <v>79</v>
      </c>
      <c r="AZ28" s="3" t="s">
        <v>79</v>
      </c>
      <c r="BA28" s="3" t="s">
        <v>79</v>
      </c>
      <c r="BB28" s="3" t="s">
        <v>79</v>
      </c>
      <c r="BC28" s="3" t="s">
        <v>79</v>
      </c>
      <c r="BD28" s="3" t="s">
        <v>79</v>
      </c>
      <c r="BE28" s="3">
        <v>159.0</v>
      </c>
      <c r="BF28" s="3">
        <v>164.0</v>
      </c>
      <c r="BG28" s="3" t="s">
        <v>79</v>
      </c>
      <c r="BH28" s="3" t="s">
        <v>467</v>
      </c>
      <c r="BI28" s="8" t="str">
        <f>HYPERLINK("http://dx.doi.org/10.1145/3665689.3665716","http://dx.doi.org/10.1145/3665689.3665716")</f>
        <v>http://dx.doi.org/10.1145/3665689.3665716</v>
      </c>
      <c r="BJ28" s="3" t="s">
        <v>79</v>
      </c>
      <c r="BK28" s="3" t="s">
        <v>79</v>
      </c>
      <c r="BL28" s="3" t="s">
        <v>79</v>
      </c>
      <c r="BM28" s="3" t="s">
        <v>79</v>
      </c>
      <c r="BN28" s="3" t="s">
        <v>79</v>
      </c>
      <c r="BO28" s="3" t="s">
        <v>152</v>
      </c>
      <c r="BP28" s="3" t="s">
        <v>79</v>
      </c>
      <c r="BQ28" s="3" t="s">
        <v>79</v>
      </c>
      <c r="BR28" s="3" t="s">
        <v>79</v>
      </c>
      <c r="BS28" s="3" t="s">
        <v>79</v>
      </c>
      <c r="BT28" s="3" t="s">
        <v>79</v>
      </c>
      <c r="BU28" s="3" t="s">
        <v>95</v>
      </c>
      <c r="BV28" s="3" t="s">
        <v>468</v>
      </c>
      <c r="BW28" s="3" t="str">
        <f>HYPERLINK("https%3A%2F%2Fwww.webofscience.com%2Fwos%2Fwoscc%2Ffull-record%2FWOS:001264463900026","View Full Record in Web of Science")</f>
        <v>View Full Record in Web of Science</v>
      </c>
    </row>
    <row r="29" ht="12.75" customHeight="1">
      <c r="A29" s="5" t="s">
        <v>391</v>
      </c>
      <c r="B29" s="7"/>
      <c r="C29" s="5">
        <v>8.0</v>
      </c>
      <c r="D29" s="3" t="s">
        <v>185</v>
      </c>
      <c r="E29" s="3" t="s">
        <v>469</v>
      </c>
      <c r="F29" s="3" t="s">
        <v>79</v>
      </c>
      <c r="G29" s="3" t="s">
        <v>79</v>
      </c>
      <c r="H29" s="3" t="s">
        <v>79</v>
      </c>
      <c r="I29" s="3" t="s">
        <v>470</v>
      </c>
      <c r="J29" s="3" t="s">
        <v>79</v>
      </c>
      <c r="K29" s="3" t="s">
        <v>79</v>
      </c>
      <c r="L29" s="3" t="s">
        <v>471</v>
      </c>
      <c r="M29" s="3" t="s">
        <v>472</v>
      </c>
      <c r="N29" s="3" t="s">
        <v>79</v>
      </c>
      <c r="O29" s="3" t="s">
        <v>79</v>
      </c>
      <c r="P29" s="3" t="s">
        <v>79</v>
      </c>
      <c r="Q29" s="3" t="s">
        <v>190</v>
      </c>
      <c r="R29" s="3" t="s">
        <v>79</v>
      </c>
      <c r="S29" s="3" t="s">
        <v>79</v>
      </c>
      <c r="T29" s="3" t="s">
        <v>79</v>
      </c>
      <c r="U29" s="3" t="s">
        <v>79</v>
      </c>
      <c r="V29" s="3" t="s">
        <v>79</v>
      </c>
      <c r="W29" s="3" t="s">
        <v>473</v>
      </c>
      <c r="X29" s="3" t="s">
        <v>474</v>
      </c>
      <c r="Y29" s="3" t="s">
        <v>475</v>
      </c>
      <c r="Z29" s="3" t="s">
        <v>476</v>
      </c>
      <c r="AA29" s="3" t="s">
        <v>477</v>
      </c>
      <c r="AB29" s="3" t="s">
        <v>478</v>
      </c>
      <c r="AC29" s="3" t="s">
        <v>479</v>
      </c>
      <c r="AD29" s="3" t="s">
        <v>480</v>
      </c>
      <c r="AE29" s="3" t="s">
        <v>481</v>
      </c>
      <c r="AF29" s="3" t="s">
        <v>79</v>
      </c>
      <c r="AG29" s="3" t="s">
        <v>79</v>
      </c>
      <c r="AH29" s="3" t="s">
        <v>79</v>
      </c>
      <c r="AI29" s="3" t="s">
        <v>79</v>
      </c>
      <c r="AJ29" s="3">
        <v>20.0</v>
      </c>
      <c r="AK29" s="3">
        <v>14.0</v>
      </c>
      <c r="AL29" s="3">
        <v>18.0</v>
      </c>
      <c r="AM29" s="3" t="s">
        <v>79</v>
      </c>
      <c r="AN29" s="3" t="s">
        <v>79</v>
      </c>
      <c r="AO29" s="3" t="s">
        <v>79</v>
      </c>
      <c r="AP29" s="3" t="s">
        <v>79</v>
      </c>
      <c r="AQ29" s="3" t="s">
        <v>79</v>
      </c>
      <c r="AR29" s="3" t="s">
        <v>79</v>
      </c>
      <c r="AS29" s="3" t="s">
        <v>79</v>
      </c>
      <c r="AT29" s="3" t="s">
        <v>79</v>
      </c>
      <c r="AU29" s="3" t="s">
        <v>79</v>
      </c>
      <c r="AV29" s="3" t="s">
        <v>79</v>
      </c>
      <c r="AW29" s="3" t="s">
        <v>482</v>
      </c>
      <c r="AX29" s="3">
        <v>2013.0</v>
      </c>
      <c r="AY29" s="3">
        <v>20.0</v>
      </c>
      <c r="AZ29" s="3">
        <v>6.0</v>
      </c>
      <c r="BA29" s="3" t="s">
        <v>79</v>
      </c>
      <c r="BB29" s="3" t="s">
        <v>79</v>
      </c>
      <c r="BC29" s="3" t="s">
        <v>79</v>
      </c>
      <c r="BD29" s="3" t="s">
        <v>79</v>
      </c>
      <c r="BE29" s="3">
        <v>2061.0</v>
      </c>
      <c r="BF29" s="3">
        <v>2072.0</v>
      </c>
      <c r="BG29" s="3" t="s">
        <v>79</v>
      </c>
      <c r="BH29" s="3" t="s">
        <v>79</v>
      </c>
      <c r="BI29" s="3" t="s">
        <v>79</v>
      </c>
      <c r="BJ29" s="3" t="s">
        <v>79</v>
      </c>
      <c r="BK29" s="3" t="s">
        <v>79</v>
      </c>
      <c r="BL29" s="3" t="s">
        <v>79</v>
      </c>
      <c r="BM29" s="3" t="s">
        <v>79</v>
      </c>
      <c r="BN29" s="3" t="s">
        <v>79</v>
      </c>
      <c r="BO29" s="3" t="s">
        <v>139</v>
      </c>
      <c r="BP29" s="3" t="s">
        <v>79</v>
      </c>
      <c r="BQ29" s="3" t="s">
        <v>79</v>
      </c>
      <c r="BR29" s="3" t="s">
        <v>79</v>
      </c>
      <c r="BS29" s="3" t="s">
        <v>79</v>
      </c>
      <c r="BT29" s="3" t="s">
        <v>79</v>
      </c>
      <c r="BU29" s="3" t="s">
        <v>95</v>
      </c>
      <c r="BV29" s="3" t="s">
        <v>483</v>
      </c>
      <c r="BW29" s="3" t="str">
        <f>HYPERLINK("https%3A%2F%2Fwww.webofscience.com%2Fwos%2Fwoscc%2Ffull-record%2FWOS:000330813500009","View Full Record in Web of Science")</f>
        <v>View Full Record in Web of Science</v>
      </c>
    </row>
    <row r="30" ht="12.75" customHeight="1">
      <c r="A30" s="5" t="s">
        <v>391</v>
      </c>
      <c r="B30" s="7"/>
      <c r="C30" s="5">
        <v>8.0</v>
      </c>
      <c r="D30" s="3" t="s">
        <v>185</v>
      </c>
      <c r="E30" s="3" t="s">
        <v>484</v>
      </c>
      <c r="F30" s="3" t="s">
        <v>79</v>
      </c>
      <c r="G30" s="3" t="s">
        <v>79</v>
      </c>
      <c r="H30" s="3" t="s">
        <v>79</v>
      </c>
      <c r="I30" s="3" t="s">
        <v>485</v>
      </c>
      <c r="J30" s="3" t="s">
        <v>79</v>
      </c>
      <c r="K30" s="3" t="s">
        <v>79</v>
      </c>
      <c r="L30" s="3" t="s">
        <v>486</v>
      </c>
      <c r="M30" s="3" t="s">
        <v>487</v>
      </c>
      <c r="N30" s="3" t="s">
        <v>79</v>
      </c>
      <c r="O30" s="3" t="s">
        <v>79</v>
      </c>
      <c r="P30" s="3" t="s">
        <v>79</v>
      </c>
      <c r="Q30" s="3" t="s">
        <v>190</v>
      </c>
      <c r="R30" s="3" t="s">
        <v>79</v>
      </c>
      <c r="S30" s="3" t="s">
        <v>79</v>
      </c>
      <c r="T30" s="3" t="s">
        <v>79</v>
      </c>
      <c r="U30" s="3" t="s">
        <v>79</v>
      </c>
      <c r="V30" s="3" t="s">
        <v>79</v>
      </c>
      <c r="W30" s="3" t="s">
        <v>488</v>
      </c>
      <c r="X30" s="3" t="s">
        <v>489</v>
      </c>
      <c r="Y30" s="3" t="s">
        <v>490</v>
      </c>
      <c r="Z30" s="3" t="s">
        <v>491</v>
      </c>
      <c r="AA30" s="3" t="s">
        <v>492</v>
      </c>
      <c r="AB30" s="3" t="s">
        <v>493</v>
      </c>
      <c r="AC30" s="3" t="s">
        <v>494</v>
      </c>
      <c r="AD30" s="3" t="s">
        <v>495</v>
      </c>
      <c r="AE30" s="3" t="s">
        <v>496</v>
      </c>
      <c r="AF30" s="3" t="s">
        <v>79</v>
      </c>
      <c r="AG30" s="3" t="s">
        <v>79</v>
      </c>
      <c r="AH30" s="3" t="s">
        <v>79</v>
      </c>
      <c r="AI30" s="3" t="s">
        <v>79</v>
      </c>
      <c r="AJ30" s="3">
        <v>37.0</v>
      </c>
      <c r="AK30" s="3">
        <v>48.0</v>
      </c>
      <c r="AL30" s="3">
        <v>57.0</v>
      </c>
      <c r="AM30" s="3" t="s">
        <v>79</v>
      </c>
      <c r="AN30" s="3" t="s">
        <v>79</v>
      </c>
      <c r="AO30" s="3" t="s">
        <v>79</v>
      </c>
      <c r="AP30" s="3" t="s">
        <v>79</v>
      </c>
      <c r="AQ30" s="3" t="s">
        <v>79</v>
      </c>
      <c r="AR30" s="3" t="s">
        <v>79</v>
      </c>
      <c r="AS30" s="3" t="s">
        <v>79</v>
      </c>
      <c r="AT30" s="3" t="s">
        <v>79</v>
      </c>
      <c r="AU30" s="3" t="s">
        <v>79</v>
      </c>
      <c r="AV30" s="3" t="s">
        <v>79</v>
      </c>
      <c r="AW30" s="3" t="s">
        <v>497</v>
      </c>
      <c r="AX30" s="3">
        <v>2019.0</v>
      </c>
      <c r="AY30" s="3">
        <v>20.0</v>
      </c>
      <c r="AZ30" s="3">
        <v>8.0</v>
      </c>
      <c r="BA30" s="3" t="s">
        <v>79</v>
      </c>
      <c r="BB30" s="3" t="s">
        <v>79</v>
      </c>
      <c r="BC30" s="3" t="s">
        <v>79</v>
      </c>
      <c r="BD30" s="3" t="s">
        <v>79</v>
      </c>
      <c r="BE30" s="3">
        <v>1087.0</v>
      </c>
      <c r="BF30" s="3">
        <v>1098.0</v>
      </c>
      <c r="BG30" s="3" t="s">
        <v>79</v>
      </c>
      <c r="BH30" s="3" t="s">
        <v>498</v>
      </c>
      <c r="BI30" s="8" t="str">
        <f>HYPERLINK("http://dx.doi.org/10.1631/FITEE.1800083","http://dx.doi.org/10.1631/FITEE.1800083")</f>
        <v>http://dx.doi.org/10.1631/FITEE.1800083</v>
      </c>
      <c r="BJ30" s="3" t="s">
        <v>79</v>
      </c>
      <c r="BK30" s="3" t="s">
        <v>79</v>
      </c>
      <c r="BL30" s="3" t="s">
        <v>79</v>
      </c>
      <c r="BM30" s="3" t="s">
        <v>79</v>
      </c>
      <c r="BN30" s="3" t="s">
        <v>79</v>
      </c>
      <c r="BO30" s="3" t="s">
        <v>152</v>
      </c>
      <c r="BP30" s="3" t="s">
        <v>79</v>
      </c>
      <c r="BQ30" s="3" t="s">
        <v>79</v>
      </c>
      <c r="BR30" s="3" t="s">
        <v>79</v>
      </c>
      <c r="BS30" s="3" t="s">
        <v>79</v>
      </c>
      <c r="BT30" s="3" t="s">
        <v>79</v>
      </c>
      <c r="BU30" s="3" t="s">
        <v>95</v>
      </c>
      <c r="BV30" s="3" t="s">
        <v>499</v>
      </c>
      <c r="BW30" s="3" t="str">
        <f>HYPERLINK("https%3A%2F%2Fwww.webofscience.com%2Fwos%2Fwoscc%2Ffull-record%2FWOS:000483650200007","View Full Record in Web of Science")</f>
        <v>View Full Record in Web of Science</v>
      </c>
    </row>
    <row r="31" ht="12.75" customHeight="1">
      <c r="A31" s="5" t="s">
        <v>391</v>
      </c>
      <c r="B31" s="7"/>
      <c r="C31" s="5">
        <v>6.0</v>
      </c>
      <c r="D31" s="3" t="s">
        <v>77</v>
      </c>
      <c r="E31" s="3" t="s">
        <v>500</v>
      </c>
      <c r="F31" s="3" t="s">
        <v>79</v>
      </c>
      <c r="G31" s="3" t="s">
        <v>79</v>
      </c>
      <c r="H31" s="3" t="s">
        <v>80</v>
      </c>
      <c r="I31" s="3" t="s">
        <v>501</v>
      </c>
      <c r="J31" s="3" t="s">
        <v>79</v>
      </c>
      <c r="K31" s="3" t="s">
        <v>79</v>
      </c>
      <c r="L31" s="3" t="s">
        <v>502</v>
      </c>
      <c r="M31" s="3" t="s">
        <v>503</v>
      </c>
      <c r="N31" s="3" t="s">
        <v>504</v>
      </c>
      <c r="O31" s="3" t="s">
        <v>79</v>
      </c>
      <c r="P31" s="3" t="s">
        <v>79</v>
      </c>
      <c r="Q31" s="3" t="s">
        <v>84</v>
      </c>
      <c r="R31" s="3" t="s">
        <v>79</v>
      </c>
      <c r="S31" s="3" t="s">
        <v>79</v>
      </c>
      <c r="T31" s="3" t="s">
        <v>79</v>
      </c>
      <c r="U31" s="3" t="s">
        <v>79</v>
      </c>
      <c r="V31" s="3" t="s">
        <v>79</v>
      </c>
      <c r="W31" s="3" t="s">
        <v>505</v>
      </c>
      <c r="X31" s="3" t="s">
        <v>506</v>
      </c>
      <c r="Y31" s="3" t="s">
        <v>507</v>
      </c>
      <c r="Z31" s="3" t="s">
        <v>508</v>
      </c>
      <c r="AA31" s="3" t="s">
        <v>509</v>
      </c>
      <c r="AB31" s="3" t="s">
        <v>510</v>
      </c>
      <c r="AC31" s="3" t="s">
        <v>511</v>
      </c>
      <c r="AD31" s="3" t="s">
        <v>512</v>
      </c>
      <c r="AE31" s="3" t="s">
        <v>79</v>
      </c>
      <c r="AF31" s="3" t="s">
        <v>79</v>
      </c>
      <c r="AG31" s="3" t="s">
        <v>79</v>
      </c>
      <c r="AH31" s="3" t="s">
        <v>79</v>
      </c>
      <c r="AI31" s="3" t="s">
        <v>79</v>
      </c>
      <c r="AJ31" s="3">
        <v>29.0</v>
      </c>
      <c r="AK31" s="3">
        <v>7.0</v>
      </c>
      <c r="AL31" s="3">
        <v>8.0</v>
      </c>
      <c r="AM31" s="3" t="s">
        <v>79</v>
      </c>
      <c r="AN31" s="3" t="s">
        <v>79</v>
      </c>
      <c r="AO31" s="3" t="s">
        <v>79</v>
      </c>
      <c r="AP31" s="3" t="s">
        <v>79</v>
      </c>
      <c r="AQ31" s="3" t="s">
        <v>79</v>
      </c>
      <c r="AR31" s="3" t="s">
        <v>79</v>
      </c>
      <c r="AS31" s="3" t="s">
        <v>79</v>
      </c>
      <c r="AT31" s="3" t="s">
        <v>79</v>
      </c>
      <c r="AU31" s="3" t="s">
        <v>79</v>
      </c>
      <c r="AV31" s="3" t="s">
        <v>79</v>
      </c>
      <c r="AW31" s="3" t="s">
        <v>79</v>
      </c>
      <c r="AX31" s="3">
        <v>2020.0</v>
      </c>
      <c r="AY31" s="3" t="s">
        <v>79</v>
      </c>
      <c r="AZ31" s="3" t="s">
        <v>79</v>
      </c>
      <c r="BA31" s="3" t="s">
        <v>79</v>
      </c>
      <c r="BB31" s="3" t="s">
        <v>79</v>
      </c>
      <c r="BC31" s="3" t="s">
        <v>79</v>
      </c>
      <c r="BD31" s="3" t="s">
        <v>79</v>
      </c>
      <c r="BE31" s="3">
        <v>24.0</v>
      </c>
      <c r="BF31" s="3">
        <v>27.0</v>
      </c>
      <c r="BG31" s="3" t="s">
        <v>79</v>
      </c>
      <c r="BH31" s="3" t="s">
        <v>513</v>
      </c>
      <c r="BI31" s="8" t="str">
        <f>HYPERLINK("http://dx.doi.org/10.1109/bci48061.2020.9061627","http://dx.doi.org/10.1109/bci48061.2020.9061627")</f>
        <v>http://dx.doi.org/10.1109/bci48061.2020.9061627</v>
      </c>
      <c r="BJ31" s="3" t="s">
        <v>79</v>
      </c>
      <c r="BK31" s="3" t="s">
        <v>79</v>
      </c>
      <c r="BL31" s="3" t="s">
        <v>79</v>
      </c>
      <c r="BM31" s="3" t="s">
        <v>79</v>
      </c>
      <c r="BN31" s="3" t="s">
        <v>79</v>
      </c>
      <c r="BO31" s="3" t="s">
        <v>275</v>
      </c>
      <c r="BP31" s="3" t="s">
        <v>79</v>
      </c>
      <c r="BQ31" s="3" t="s">
        <v>79</v>
      </c>
      <c r="BR31" s="3" t="s">
        <v>79</v>
      </c>
      <c r="BS31" s="3" t="s">
        <v>79</v>
      </c>
      <c r="BT31" s="3" t="s">
        <v>79</v>
      </c>
      <c r="BU31" s="3" t="s">
        <v>95</v>
      </c>
      <c r="BV31" s="3" t="s">
        <v>514</v>
      </c>
      <c r="BW31" s="3" t="str">
        <f>HYPERLINK("https%3A%2F%2Fwww.webofscience.com%2Fwos%2Fwoscc%2Ffull-record%2FWOS:000612527100008","View Full Record in Web of Science")</f>
        <v>View Full Record in Web of Science</v>
      </c>
    </row>
    <row r="32" ht="12.75" customHeight="1">
      <c r="A32" s="5" t="s">
        <v>391</v>
      </c>
      <c r="B32" s="7"/>
      <c r="C32" s="5">
        <v>9.0</v>
      </c>
      <c r="D32" s="3" t="s">
        <v>185</v>
      </c>
      <c r="E32" s="3" t="s">
        <v>515</v>
      </c>
      <c r="F32" s="3" t="s">
        <v>79</v>
      </c>
      <c r="G32" s="3" t="s">
        <v>79</v>
      </c>
      <c r="H32" s="3" t="s">
        <v>79</v>
      </c>
      <c r="I32" s="3" t="s">
        <v>516</v>
      </c>
      <c r="J32" s="3" t="s">
        <v>79</v>
      </c>
      <c r="K32" s="3" t="s">
        <v>79</v>
      </c>
      <c r="L32" s="3" t="s">
        <v>517</v>
      </c>
      <c r="M32" s="3" t="s">
        <v>518</v>
      </c>
      <c r="N32" s="3" t="s">
        <v>79</v>
      </c>
      <c r="O32" s="3" t="s">
        <v>79</v>
      </c>
      <c r="P32" s="3" t="s">
        <v>79</v>
      </c>
      <c r="Q32" s="3" t="s">
        <v>190</v>
      </c>
      <c r="R32" s="3" t="s">
        <v>79</v>
      </c>
      <c r="S32" s="3" t="s">
        <v>79</v>
      </c>
      <c r="T32" s="3" t="s">
        <v>79</v>
      </c>
      <c r="U32" s="3" t="s">
        <v>79</v>
      </c>
      <c r="V32" s="3" t="s">
        <v>79</v>
      </c>
      <c r="W32" s="3" t="s">
        <v>519</v>
      </c>
      <c r="X32" s="3" t="s">
        <v>520</v>
      </c>
      <c r="Y32" s="3" t="s">
        <v>521</v>
      </c>
      <c r="Z32" s="3" t="s">
        <v>522</v>
      </c>
      <c r="AA32" s="3" t="s">
        <v>523</v>
      </c>
      <c r="AB32" s="3" t="s">
        <v>524</v>
      </c>
      <c r="AC32" s="3" t="s">
        <v>525</v>
      </c>
      <c r="AD32" s="3" t="s">
        <v>526</v>
      </c>
      <c r="AE32" s="3" t="s">
        <v>79</v>
      </c>
      <c r="AF32" s="3" t="s">
        <v>79</v>
      </c>
      <c r="AG32" s="3" t="s">
        <v>79</v>
      </c>
      <c r="AH32" s="3" t="s">
        <v>79</v>
      </c>
      <c r="AI32" s="3" t="s">
        <v>79</v>
      </c>
      <c r="AJ32" s="3">
        <v>83.0</v>
      </c>
      <c r="AK32" s="3">
        <v>12.0</v>
      </c>
      <c r="AL32" s="3">
        <v>13.0</v>
      </c>
      <c r="AM32" s="3" t="s">
        <v>79</v>
      </c>
      <c r="AN32" s="3" t="s">
        <v>79</v>
      </c>
      <c r="AO32" s="3" t="s">
        <v>79</v>
      </c>
      <c r="AP32" s="3" t="s">
        <v>79</v>
      </c>
      <c r="AQ32" s="3" t="s">
        <v>79</v>
      </c>
      <c r="AR32" s="3" t="s">
        <v>79</v>
      </c>
      <c r="AS32" s="3" t="s">
        <v>79</v>
      </c>
      <c r="AT32" s="3" t="s">
        <v>79</v>
      </c>
      <c r="AU32" s="3" t="s">
        <v>79</v>
      </c>
      <c r="AV32" s="3" t="s">
        <v>79</v>
      </c>
      <c r="AW32" s="3" t="s">
        <v>527</v>
      </c>
      <c r="AX32" s="3">
        <v>2024.0</v>
      </c>
      <c r="AY32" s="3">
        <v>92.0</v>
      </c>
      <c r="AZ32" s="3" t="s">
        <v>79</v>
      </c>
      <c r="BA32" s="3" t="s">
        <v>79</v>
      </c>
      <c r="BB32" s="3" t="s">
        <v>79</v>
      </c>
      <c r="BC32" s="3" t="s">
        <v>79</v>
      </c>
      <c r="BD32" s="3" t="s">
        <v>79</v>
      </c>
      <c r="BE32" s="3" t="s">
        <v>79</v>
      </c>
      <c r="BF32" s="3" t="s">
        <v>79</v>
      </c>
      <c r="BG32" s="3">
        <v>106081.0</v>
      </c>
      <c r="BH32" s="3" t="s">
        <v>528</v>
      </c>
      <c r="BI32" s="8" t="str">
        <f>HYPERLINK("http://dx.doi.org/10.1016/j.bspc.2024.106081","http://dx.doi.org/10.1016/j.bspc.2024.106081")</f>
        <v>http://dx.doi.org/10.1016/j.bspc.2024.106081</v>
      </c>
      <c r="BJ32" s="3" t="s">
        <v>79</v>
      </c>
      <c r="BK32" s="3" t="s">
        <v>529</v>
      </c>
      <c r="BL32" s="3" t="s">
        <v>79</v>
      </c>
      <c r="BM32" s="3" t="s">
        <v>79</v>
      </c>
      <c r="BN32" s="3" t="s">
        <v>79</v>
      </c>
      <c r="BO32" s="3" t="s">
        <v>139</v>
      </c>
      <c r="BP32" s="3" t="s">
        <v>79</v>
      </c>
      <c r="BQ32" s="3" t="s">
        <v>79</v>
      </c>
      <c r="BR32" s="3" t="s">
        <v>79</v>
      </c>
      <c r="BS32" s="3" t="s">
        <v>79</v>
      </c>
      <c r="BT32" s="3" t="s">
        <v>79</v>
      </c>
      <c r="BU32" s="3" t="s">
        <v>95</v>
      </c>
      <c r="BV32" s="3" t="s">
        <v>530</v>
      </c>
      <c r="BW32" s="3" t="str">
        <f>HYPERLINK("https%3A%2F%2Fwww.webofscience.com%2Fwos%2Fwoscc%2Ffull-record%2FWOS:001180928400001","View Full Record in Web of Science")</f>
        <v>View Full Record in Web of Science</v>
      </c>
    </row>
    <row r="33" ht="12.75" customHeight="1">
      <c r="A33" s="5" t="s">
        <v>391</v>
      </c>
      <c r="B33" s="7"/>
      <c r="C33" s="5">
        <v>8.0</v>
      </c>
      <c r="D33" s="3" t="s">
        <v>185</v>
      </c>
      <c r="E33" s="3" t="s">
        <v>531</v>
      </c>
      <c r="F33" s="3" t="s">
        <v>79</v>
      </c>
      <c r="G33" s="3" t="s">
        <v>79</v>
      </c>
      <c r="H33" s="3" t="s">
        <v>79</v>
      </c>
      <c r="I33" s="3" t="s">
        <v>532</v>
      </c>
      <c r="J33" s="3" t="s">
        <v>79</v>
      </c>
      <c r="K33" s="3" t="s">
        <v>79</v>
      </c>
      <c r="L33" s="3" t="s">
        <v>533</v>
      </c>
      <c r="M33" s="3" t="s">
        <v>534</v>
      </c>
      <c r="N33" s="3" t="s">
        <v>79</v>
      </c>
      <c r="O33" s="3" t="s">
        <v>79</v>
      </c>
      <c r="P33" s="3" t="s">
        <v>79</v>
      </c>
      <c r="Q33" s="3" t="s">
        <v>190</v>
      </c>
      <c r="R33" s="3" t="s">
        <v>79</v>
      </c>
      <c r="S33" s="3" t="s">
        <v>79</v>
      </c>
      <c r="T33" s="3" t="s">
        <v>79</v>
      </c>
      <c r="U33" s="3" t="s">
        <v>79</v>
      </c>
      <c r="V33" s="3" t="s">
        <v>79</v>
      </c>
      <c r="W33" s="3" t="s">
        <v>79</v>
      </c>
      <c r="X33" s="3" t="s">
        <v>535</v>
      </c>
      <c r="Y33" s="3" t="s">
        <v>536</v>
      </c>
      <c r="Z33" s="3" t="s">
        <v>537</v>
      </c>
      <c r="AA33" s="3" t="s">
        <v>538</v>
      </c>
      <c r="AB33" s="3" t="s">
        <v>539</v>
      </c>
      <c r="AC33" s="3" t="s">
        <v>540</v>
      </c>
      <c r="AD33" s="3" t="s">
        <v>541</v>
      </c>
      <c r="AE33" s="3" t="s">
        <v>542</v>
      </c>
      <c r="AF33" s="3" t="s">
        <v>79</v>
      </c>
      <c r="AG33" s="3" t="s">
        <v>79</v>
      </c>
      <c r="AH33" s="3" t="s">
        <v>79</v>
      </c>
      <c r="AI33" s="3" t="s">
        <v>79</v>
      </c>
      <c r="AJ33" s="3">
        <v>42.0</v>
      </c>
      <c r="AK33" s="3">
        <v>37.0</v>
      </c>
      <c r="AL33" s="3">
        <v>42.0</v>
      </c>
      <c r="AM33" s="3" t="s">
        <v>79</v>
      </c>
      <c r="AN33" s="3" t="s">
        <v>79</v>
      </c>
      <c r="AO33" s="3" t="s">
        <v>79</v>
      </c>
      <c r="AP33" s="3" t="s">
        <v>79</v>
      </c>
      <c r="AQ33" s="3" t="s">
        <v>79</v>
      </c>
      <c r="AR33" s="3" t="s">
        <v>79</v>
      </c>
      <c r="AS33" s="3" t="s">
        <v>79</v>
      </c>
      <c r="AT33" s="3" t="s">
        <v>79</v>
      </c>
      <c r="AU33" s="3" t="s">
        <v>79</v>
      </c>
      <c r="AV33" s="3" t="s">
        <v>79</v>
      </c>
      <c r="AW33" s="3" t="s">
        <v>497</v>
      </c>
      <c r="AX33" s="3">
        <v>2016.0</v>
      </c>
      <c r="AY33" s="3">
        <v>87.0</v>
      </c>
      <c r="AZ33" s="3">
        <v>8.0</v>
      </c>
      <c r="BA33" s="3" t="s">
        <v>79</v>
      </c>
      <c r="BB33" s="3" t="s">
        <v>79</v>
      </c>
      <c r="BC33" s="3" t="s">
        <v>79</v>
      </c>
      <c r="BD33" s="3" t="s">
        <v>79</v>
      </c>
      <c r="BE33" s="3" t="s">
        <v>79</v>
      </c>
      <c r="BF33" s="3" t="s">
        <v>79</v>
      </c>
      <c r="BG33" s="3">
        <v>85110.0</v>
      </c>
      <c r="BH33" s="3" t="s">
        <v>543</v>
      </c>
      <c r="BI33" s="8" t="str">
        <f>HYPERLINK("http://dx.doi.org/10.1063/1.4959983","http://dx.doi.org/10.1063/1.4959983")</f>
        <v>http://dx.doi.org/10.1063/1.4959983</v>
      </c>
      <c r="BJ33" s="3" t="s">
        <v>79</v>
      </c>
      <c r="BK33" s="3" t="s">
        <v>79</v>
      </c>
      <c r="BL33" s="3" t="s">
        <v>79</v>
      </c>
      <c r="BM33" s="3" t="s">
        <v>79</v>
      </c>
      <c r="BN33" s="3" t="s">
        <v>79</v>
      </c>
      <c r="BO33" s="3" t="s">
        <v>544</v>
      </c>
      <c r="BP33" s="3" t="s">
        <v>79</v>
      </c>
      <c r="BQ33" s="3" t="s">
        <v>79</v>
      </c>
      <c r="BR33" s="3" t="s">
        <v>79</v>
      </c>
      <c r="BS33" s="3" t="s">
        <v>79</v>
      </c>
      <c r="BT33" s="3" t="s">
        <v>79</v>
      </c>
      <c r="BU33" s="3" t="s">
        <v>95</v>
      </c>
      <c r="BV33" s="3" t="s">
        <v>545</v>
      </c>
      <c r="BW33" s="3" t="str">
        <f>HYPERLINK("https%3A%2F%2Fwww.webofscience.com%2Fwos%2Fwoscc%2Ffull-record%2FWOS:000383880100070","View Full Record in Web of Science")</f>
        <v>View Full Record in Web of Science</v>
      </c>
    </row>
    <row r="34" ht="12.75" customHeight="1">
      <c r="A34" s="5" t="s">
        <v>422</v>
      </c>
      <c r="B34" s="7"/>
      <c r="C34" s="5"/>
      <c r="D34" s="3" t="s">
        <v>77</v>
      </c>
      <c r="E34" s="3" t="s">
        <v>546</v>
      </c>
      <c r="F34" s="3" t="s">
        <v>79</v>
      </c>
      <c r="G34" s="3" t="s">
        <v>79</v>
      </c>
      <c r="H34" s="3" t="s">
        <v>80</v>
      </c>
      <c r="I34" s="3" t="s">
        <v>547</v>
      </c>
      <c r="J34" s="3" t="s">
        <v>79</v>
      </c>
      <c r="K34" s="3" t="s">
        <v>79</v>
      </c>
      <c r="L34" s="3" t="s">
        <v>548</v>
      </c>
      <c r="M34" s="3" t="s">
        <v>549</v>
      </c>
      <c r="N34" s="3" t="s">
        <v>550</v>
      </c>
      <c r="O34" s="3" t="s">
        <v>79</v>
      </c>
      <c r="P34" s="3" t="s">
        <v>79</v>
      </c>
      <c r="Q34" s="3" t="s">
        <v>84</v>
      </c>
      <c r="R34" s="3" t="s">
        <v>79</v>
      </c>
      <c r="S34" s="3" t="s">
        <v>79</v>
      </c>
      <c r="T34" s="3" t="s">
        <v>79</v>
      </c>
      <c r="U34" s="3" t="s">
        <v>79</v>
      </c>
      <c r="V34" s="3" t="s">
        <v>79</v>
      </c>
      <c r="W34" s="3" t="s">
        <v>79</v>
      </c>
      <c r="X34" s="3" t="s">
        <v>551</v>
      </c>
      <c r="Y34" s="3" t="s">
        <v>552</v>
      </c>
      <c r="Z34" s="3" t="s">
        <v>553</v>
      </c>
      <c r="AA34" s="3" t="s">
        <v>554</v>
      </c>
      <c r="AB34" s="3" t="s">
        <v>555</v>
      </c>
      <c r="AC34" s="3" t="s">
        <v>556</v>
      </c>
      <c r="AD34" s="3" t="s">
        <v>557</v>
      </c>
      <c r="AE34" s="3" t="s">
        <v>558</v>
      </c>
      <c r="AF34" s="3" t="s">
        <v>79</v>
      </c>
      <c r="AG34" s="3" t="s">
        <v>79</v>
      </c>
      <c r="AH34" s="3" t="s">
        <v>79</v>
      </c>
      <c r="AI34" s="3" t="s">
        <v>79</v>
      </c>
      <c r="AJ34" s="3">
        <v>16.0</v>
      </c>
      <c r="AK34" s="3">
        <v>11.0</v>
      </c>
      <c r="AL34" s="3">
        <v>14.0</v>
      </c>
      <c r="AM34" s="3" t="s">
        <v>79</v>
      </c>
      <c r="AN34" s="3" t="s">
        <v>79</v>
      </c>
      <c r="AO34" s="3" t="s">
        <v>79</v>
      </c>
      <c r="AP34" s="3" t="s">
        <v>79</v>
      </c>
      <c r="AQ34" s="3" t="s">
        <v>79</v>
      </c>
      <c r="AR34" s="3" t="s">
        <v>79</v>
      </c>
      <c r="AS34" s="3" t="s">
        <v>79</v>
      </c>
      <c r="AT34" s="3" t="s">
        <v>79</v>
      </c>
      <c r="AU34" s="3" t="s">
        <v>79</v>
      </c>
      <c r="AV34" s="3" t="s">
        <v>79</v>
      </c>
      <c r="AW34" s="3" t="s">
        <v>79</v>
      </c>
      <c r="AX34" s="3">
        <v>2013.0</v>
      </c>
      <c r="AY34" s="3" t="s">
        <v>79</v>
      </c>
      <c r="AZ34" s="3" t="s">
        <v>79</v>
      </c>
      <c r="BA34" s="3" t="s">
        <v>79</v>
      </c>
      <c r="BB34" s="3" t="s">
        <v>79</v>
      </c>
      <c r="BC34" s="3" t="s">
        <v>79</v>
      </c>
      <c r="BD34" s="3" t="s">
        <v>79</v>
      </c>
      <c r="BE34" s="3">
        <v>435.0</v>
      </c>
      <c r="BF34" s="3">
        <v>438.0</v>
      </c>
      <c r="BG34" s="3" t="s">
        <v>79</v>
      </c>
      <c r="BH34" s="3" t="s">
        <v>79</v>
      </c>
      <c r="BI34" s="3" t="s">
        <v>79</v>
      </c>
      <c r="BJ34" s="3" t="s">
        <v>79</v>
      </c>
      <c r="BK34" s="3" t="s">
        <v>79</v>
      </c>
      <c r="BL34" s="3" t="s">
        <v>79</v>
      </c>
      <c r="BM34" s="3" t="s">
        <v>79</v>
      </c>
      <c r="BN34" s="3" t="s">
        <v>79</v>
      </c>
      <c r="BO34" s="3" t="s">
        <v>559</v>
      </c>
      <c r="BP34" s="3" t="s">
        <v>79</v>
      </c>
      <c r="BQ34" s="3" t="s">
        <v>79</v>
      </c>
      <c r="BR34" s="3" t="s">
        <v>79</v>
      </c>
      <c r="BS34" s="3" t="s">
        <v>79</v>
      </c>
      <c r="BT34" s="3" t="s">
        <v>79</v>
      </c>
      <c r="BU34" s="3" t="s">
        <v>95</v>
      </c>
      <c r="BV34" s="3" t="s">
        <v>560</v>
      </c>
      <c r="BW34" s="3" t="str">
        <f>HYPERLINK("https%3A%2F%2Fwww.webofscience.com%2Fwos%2Fwoscc%2Ffull-record%2FWOS:000331259200110","View Full Record in Web of Science")</f>
        <v>View Full Record in Web of Science</v>
      </c>
    </row>
    <row r="35" ht="12.75" customHeight="1">
      <c r="A35" s="5" t="s">
        <v>561</v>
      </c>
      <c r="B35" s="9" t="s">
        <v>562</v>
      </c>
      <c r="C35" s="5">
        <v>7.0</v>
      </c>
      <c r="D35" s="3" t="s">
        <v>185</v>
      </c>
      <c r="E35" s="3" t="s">
        <v>563</v>
      </c>
      <c r="F35" s="3" t="s">
        <v>79</v>
      </c>
      <c r="G35" s="3" t="s">
        <v>79</v>
      </c>
      <c r="H35" s="3" t="s">
        <v>79</v>
      </c>
      <c r="I35" s="3" t="s">
        <v>564</v>
      </c>
      <c r="J35" s="3" t="s">
        <v>79</v>
      </c>
      <c r="K35" s="3" t="s">
        <v>79</v>
      </c>
      <c r="L35" s="3" t="s">
        <v>565</v>
      </c>
      <c r="M35" s="3" t="s">
        <v>518</v>
      </c>
      <c r="N35" s="3" t="s">
        <v>79</v>
      </c>
      <c r="O35" s="3" t="s">
        <v>79</v>
      </c>
      <c r="P35" s="3" t="s">
        <v>79</v>
      </c>
      <c r="Q35" s="3" t="s">
        <v>190</v>
      </c>
      <c r="R35" s="3" t="s">
        <v>79</v>
      </c>
      <c r="S35" s="3" t="s">
        <v>79</v>
      </c>
      <c r="T35" s="3" t="s">
        <v>79</v>
      </c>
      <c r="U35" s="3" t="s">
        <v>79</v>
      </c>
      <c r="V35" s="3" t="s">
        <v>79</v>
      </c>
      <c r="W35" s="3" t="s">
        <v>566</v>
      </c>
      <c r="X35" s="3" t="s">
        <v>567</v>
      </c>
      <c r="Y35" s="3" t="s">
        <v>568</v>
      </c>
      <c r="Z35" s="3" t="s">
        <v>569</v>
      </c>
      <c r="AA35" s="3" t="s">
        <v>570</v>
      </c>
      <c r="AB35" s="3" t="s">
        <v>571</v>
      </c>
      <c r="AC35" s="3" t="s">
        <v>572</v>
      </c>
      <c r="AD35" s="3" t="s">
        <v>573</v>
      </c>
      <c r="AE35" s="3" t="s">
        <v>574</v>
      </c>
      <c r="AF35" s="3" t="s">
        <v>79</v>
      </c>
      <c r="AG35" s="3" t="s">
        <v>79</v>
      </c>
      <c r="AH35" s="3" t="s">
        <v>79</v>
      </c>
      <c r="AI35" s="3" t="s">
        <v>79</v>
      </c>
      <c r="AJ35" s="3">
        <v>63.0</v>
      </c>
      <c r="AK35" s="3">
        <v>7.0</v>
      </c>
      <c r="AL35" s="3">
        <v>10.0</v>
      </c>
      <c r="AM35" s="3" t="s">
        <v>79</v>
      </c>
      <c r="AN35" s="3" t="s">
        <v>79</v>
      </c>
      <c r="AO35" s="3" t="s">
        <v>79</v>
      </c>
      <c r="AP35" s="3" t="s">
        <v>79</v>
      </c>
      <c r="AQ35" s="3" t="s">
        <v>79</v>
      </c>
      <c r="AR35" s="3" t="s">
        <v>79</v>
      </c>
      <c r="AS35" s="3" t="s">
        <v>79</v>
      </c>
      <c r="AT35" s="3" t="s">
        <v>79</v>
      </c>
      <c r="AU35" s="3" t="s">
        <v>79</v>
      </c>
      <c r="AV35" s="3" t="s">
        <v>79</v>
      </c>
      <c r="AW35" s="3" t="s">
        <v>575</v>
      </c>
      <c r="AX35" s="3">
        <v>2021.0</v>
      </c>
      <c r="AY35" s="3">
        <v>68.0</v>
      </c>
      <c r="AZ35" s="3" t="s">
        <v>79</v>
      </c>
      <c r="BA35" s="3" t="s">
        <v>79</v>
      </c>
      <c r="BB35" s="3" t="s">
        <v>79</v>
      </c>
      <c r="BC35" s="3" t="s">
        <v>79</v>
      </c>
      <c r="BD35" s="3" t="s">
        <v>79</v>
      </c>
      <c r="BE35" s="3" t="s">
        <v>79</v>
      </c>
      <c r="BF35" s="3" t="s">
        <v>79</v>
      </c>
      <c r="BG35" s="3">
        <v>102662.0</v>
      </c>
      <c r="BH35" s="3" t="s">
        <v>576</v>
      </c>
      <c r="BI35" s="8" t="str">
        <f>HYPERLINK("http://dx.doi.org/10.1016/j.bspc.2021.102662","http://dx.doi.org/10.1016/j.bspc.2021.102662")</f>
        <v>http://dx.doi.org/10.1016/j.bspc.2021.102662</v>
      </c>
      <c r="BJ35" s="3" t="s">
        <v>79</v>
      </c>
      <c r="BK35" s="3" t="s">
        <v>577</v>
      </c>
      <c r="BL35" s="3" t="s">
        <v>79</v>
      </c>
      <c r="BM35" s="3" t="s">
        <v>79</v>
      </c>
      <c r="BN35" s="3" t="s">
        <v>79</v>
      </c>
      <c r="BO35" s="3" t="s">
        <v>139</v>
      </c>
      <c r="BP35" s="3" t="s">
        <v>79</v>
      </c>
      <c r="BQ35" s="3" t="s">
        <v>79</v>
      </c>
      <c r="BR35" s="3" t="s">
        <v>79</v>
      </c>
      <c r="BS35" s="3" t="s">
        <v>79</v>
      </c>
      <c r="BT35" s="3" t="s">
        <v>79</v>
      </c>
      <c r="BU35" s="3" t="s">
        <v>95</v>
      </c>
      <c r="BV35" s="3" t="s">
        <v>578</v>
      </c>
      <c r="BW35" s="3" t="str">
        <f>HYPERLINK("https%3A%2F%2Fwww.webofscience.com%2Fwos%2Fwoscc%2Ffull-record%2FWOS:000670367700007","View Full Record in Web of Science")</f>
        <v>View Full Record in Web of Science</v>
      </c>
    </row>
    <row r="36" ht="12.75" customHeight="1">
      <c r="A36" s="5" t="s">
        <v>561</v>
      </c>
      <c r="B36" s="7"/>
      <c r="C36" s="5">
        <v>10.0</v>
      </c>
      <c r="D36" s="3" t="s">
        <v>185</v>
      </c>
      <c r="E36" s="3" t="s">
        <v>579</v>
      </c>
      <c r="F36" s="3" t="s">
        <v>79</v>
      </c>
      <c r="G36" s="3" t="s">
        <v>79</v>
      </c>
      <c r="H36" s="3" t="s">
        <v>79</v>
      </c>
      <c r="I36" s="3" t="s">
        <v>580</v>
      </c>
      <c r="J36" s="3" t="s">
        <v>79</v>
      </c>
      <c r="K36" s="3" t="s">
        <v>79</v>
      </c>
      <c r="L36" s="3" t="s">
        <v>581</v>
      </c>
      <c r="M36" s="3" t="s">
        <v>207</v>
      </c>
      <c r="N36" s="3" t="s">
        <v>79</v>
      </c>
      <c r="O36" s="3" t="s">
        <v>79</v>
      </c>
      <c r="P36" s="3" t="s">
        <v>79</v>
      </c>
      <c r="Q36" s="3" t="s">
        <v>190</v>
      </c>
      <c r="R36" s="3" t="s">
        <v>79</v>
      </c>
      <c r="S36" s="3" t="s">
        <v>79</v>
      </c>
      <c r="T36" s="3" t="s">
        <v>79</v>
      </c>
      <c r="U36" s="3" t="s">
        <v>79</v>
      </c>
      <c r="V36" s="3" t="s">
        <v>79</v>
      </c>
      <c r="W36" s="3" t="s">
        <v>582</v>
      </c>
      <c r="X36" s="3" t="s">
        <v>583</v>
      </c>
      <c r="Y36" s="3" t="s">
        <v>584</v>
      </c>
      <c r="Z36" s="3" t="s">
        <v>585</v>
      </c>
      <c r="AA36" s="3" t="s">
        <v>586</v>
      </c>
      <c r="AB36" s="3" t="s">
        <v>587</v>
      </c>
      <c r="AC36" s="3" t="s">
        <v>588</v>
      </c>
      <c r="AD36" s="3" t="s">
        <v>589</v>
      </c>
      <c r="AE36" s="3" t="s">
        <v>79</v>
      </c>
      <c r="AF36" s="3" t="s">
        <v>79</v>
      </c>
      <c r="AG36" s="3" t="s">
        <v>79</v>
      </c>
      <c r="AH36" s="3" t="s">
        <v>79</v>
      </c>
      <c r="AI36" s="3" t="s">
        <v>79</v>
      </c>
      <c r="AJ36" s="3">
        <v>42.0</v>
      </c>
      <c r="AK36" s="3">
        <v>2.0</v>
      </c>
      <c r="AL36" s="3">
        <v>2.0</v>
      </c>
      <c r="AM36" s="3" t="s">
        <v>79</v>
      </c>
      <c r="AN36" s="3" t="s">
        <v>79</v>
      </c>
      <c r="AO36" s="3" t="s">
        <v>79</v>
      </c>
      <c r="AP36" s="3" t="s">
        <v>79</v>
      </c>
      <c r="AQ36" s="3" t="s">
        <v>79</v>
      </c>
      <c r="AR36" s="3" t="s">
        <v>79</v>
      </c>
      <c r="AS36" s="3" t="s">
        <v>79</v>
      </c>
      <c r="AT36" s="3" t="s">
        <v>79</v>
      </c>
      <c r="AU36" s="3" t="s">
        <v>79</v>
      </c>
      <c r="AV36" s="3" t="s">
        <v>79</v>
      </c>
      <c r="AW36" s="3" t="s">
        <v>79</v>
      </c>
      <c r="AX36" s="3">
        <v>2024.0</v>
      </c>
      <c r="AY36" s="3">
        <v>12.0</v>
      </c>
      <c r="AZ36" s="3" t="s">
        <v>79</v>
      </c>
      <c r="BA36" s="3" t="s">
        <v>79</v>
      </c>
      <c r="BB36" s="3" t="s">
        <v>79</v>
      </c>
      <c r="BC36" s="3" t="s">
        <v>79</v>
      </c>
      <c r="BD36" s="3" t="s">
        <v>79</v>
      </c>
      <c r="BE36" s="3">
        <v>32679.0</v>
      </c>
      <c r="BF36" s="3">
        <v>32692.0</v>
      </c>
      <c r="BG36" s="3" t="s">
        <v>79</v>
      </c>
      <c r="BH36" s="3" t="s">
        <v>590</v>
      </c>
      <c r="BI36" s="8" t="str">
        <f>HYPERLINK("http://dx.doi.org/10.1109/ACCESS.2024.3371904","http://dx.doi.org/10.1109/ACCESS.2024.3371904")</f>
        <v>http://dx.doi.org/10.1109/ACCESS.2024.3371904</v>
      </c>
      <c r="BJ36" s="3" t="s">
        <v>79</v>
      </c>
      <c r="BK36" s="3" t="s">
        <v>79</v>
      </c>
      <c r="BL36" s="3" t="s">
        <v>79</v>
      </c>
      <c r="BM36" s="3" t="s">
        <v>79</v>
      </c>
      <c r="BN36" s="3" t="s">
        <v>79</v>
      </c>
      <c r="BO36" s="3" t="s">
        <v>217</v>
      </c>
      <c r="BP36" s="3" t="s">
        <v>79</v>
      </c>
      <c r="BQ36" s="3" t="s">
        <v>79</v>
      </c>
      <c r="BR36" s="3" t="s">
        <v>79</v>
      </c>
      <c r="BS36" s="3" t="s">
        <v>79</v>
      </c>
      <c r="BT36" s="3" t="s">
        <v>79</v>
      </c>
      <c r="BU36" s="3" t="s">
        <v>95</v>
      </c>
      <c r="BV36" s="3" t="s">
        <v>591</v>
      </c>
      <c r="BW36" s="3" t="str">
        <f>HYPERLINK("https%3A%2F%2Fwww.webofscience.com%2Fwos%2Fwoscc%2Ffull-record%2FWOS:001176926200001","View Full Record in Web of Science")</f>
        <v>View Full Record in Web of Science</v>
      </c>
    </row>
    <row r="37" ht="12.75" customHeight="1">
      <c r="A37" s="5" t="s">
        <v>561</v>
      </c>
      <c r="B37" s="7"/>
      <c r="C37" s="5">
        <v>9.0</v>
      </c>
      <c r="D37" s="3" t="s">
        <v>185</v>
      </c>
      <c r="E37" s="3" t="s">
        <v>592</v>
      </c>
      <c r="F37" s="3" t="s">
        <v>79</v>
      </c>
      <c r="G37" s="3" t="s">
        <v>79</v>
      </c>
      <c r="H37" s="3" t="s">
        <v>79</v>
      </c>
      <c r="I37" s="3" t="s">
        <v>593</v>
      </c>
      <c r="J37" s="3" t="s">
        <v>79</v>
      </c>
      <c r="K37" s="3" t="s">
        <v>79</v>
      </c>
      <c r="L37" s="3" t="s">
        <v>594</v>
      </c>
      <c r="M37" s="3" t="s">
        <v>595</v>
      </c>
      <c r="N37" s="3" t="s">
        <v>79</v>
      </c>
      <c r="O37" s="3" t="s">
        <v>79</v>
      </c>
      <c r="P37" s="3" t="s">
        <v>79</v>
      </c>
      <c r="Q37" s="3" t="s">
        <v>190</v>
      </c>
      <c r="R37" s="3" t="s">
        <v>79</v>
      </c>
      <c r="S37" s="3" t="s">
        <v>79</v>
      </c>
      <c r="T37" s="3" t="s">
        <v>79</v>
      </c>
      <c r="U37" s="3" t="s">
        <v>79</v>
      </c>
      <c r="V37" s="3" t="s">
        <v>79</v>
      </c>
      <c r="W37" s="3" t="s">
        <v>79</v>
      </c>
      <c r="X37" s="3" t="s">
        <v>596</v>
      </c>
      <c r="Y37" s="3" t="s">
        <v>597</v>
      </c>
      <c r="Z37" s="3" t="s">
        <v>598</v>
      </c>
      <c r="AA37" s="3" t="s">
        <v>599</v>
      </c>
      <c r="AB37" s="3" t="s">
        <v>600</v>
      </c>
      <c r="AC37" s="3" t="s">
        <v>601</v>
      </c>
      <c r="AD37" s="3" t="s">
        <v>602</v>
      </c>
      <c r="AE37" s="3" t="s">
        <v>603</v>
      </c>
      <c r="AF37" s="3" t="s">
        <v>79</v>
      </c>
      <c r="AG37" s="3" t="s">
        <v>79</v>
      </c>
      <c r="AH37" s="3" t="s">
        <v>79</v>
      </c>
      <c r="AI37" s="3" t="s">
        <v>79</v>
      </c>
      <c r="AJ37" s="3">
        <v>68.0</v>
      </c>
      <c r="AK37" s="3">
        <v>65.0</v>
      </c>
      <c r="AL37" s="3">
        <v>75.0</v>
      </c>
      <c r="AM37" s="3" t="s">
        <v>79</v>
      </c>
      <c r="AN37" s="3" t="s">
        <v>79</v>
      </c>
      <c r="AO37" s="3" t="s">
        <v>79</v>
      </c>
      <c r="AP37" s="3" t="s">
        <v>79</v>
      </c>
      <c r="AQ37" s="3" t="s">
        <v>79</v>
      </c>
      <c r="AR37" s="3" t="s">
        <v>79</v>
      </c>
      <c r="AS37" s="3" t="s">
        <v>79</v>
      </c>
      <c r="AT37" s="3" t="s">
        <v>79</v>
      </c>
      <c r="AU37" s="3" t="s">
        <v>79</v>
      </c>
      <c r="AV37" s="3" t="s">
        <v>79</v>
      </c>
      <c r="AW37" s="3" t="s">
        <v>403</v>
      </c>
      <c r="AX37" s="3">
        <v>2015.0</v>
      </c>
      <c r="AY37" s="3">
        <v>10.0</v>
      </c>
      <c r="AZ37" s="3">
        <v>4.0</v>
      </c>
      <c r="BA37" s="3" t="s">
        <v>79</v>
      </c>
      <c r="BB37" s="3" t="s">
        <v>79</v>
      </c>
      <c r="BC37" s="3" t="s">
        <v>79</v>
      </c>
      <c r="BD37" s="3" t="s">
        <v>79</v>
      </c>
      <c r="BE37" s="3" t="s">
        <v>79</v>
      </c>
      <c r="BF37" s="3" t="s">
        <v>79</v>
      </c>
      <c r="BG37" s="3" t="s">
        <v>604</v>
      </c>
      <c r="BH37" s="3" t="s">
        <v>605</v>
      </c>
      <c r="BI37" s="8" t="str">
        <f>HYPERLINK("http://dx.doi.org/10.1371/journal.pone.0121896","http://dx.doi.org/10.1371/journal.pone.0121896")</f>
        <v>http://dx.doi.org/10.1371/journal.pone.0121896</v>
      </c>
      <c r="BJ37" s="3" t="s">
        <v>79</v>
      </c>
      <c r="BK37" s="3" t="s">
        <v>79</v>
      </c>
      <c r="BL37" s="3" t="s">
        <v>79</v>
      </c>
      <c r="BM37" s="3" t="s">
        <v>79</v>
      </c>
      <c r="BN37" s="3" t="s">
        <v>79</v>
      </c>
      <c r="BO37" s="3" t="s">
        <v>606</v>
      </c>
      <c r="BP37" s="3" t="s">
        <v>79</v>
      </c>
      <c r="BQ37" s="3" t="s">
        <v>79</v>
      </c>
      <c r="BR37" s="3" t="s">
        <v>79</v>
      </c>
      <c r="BS37" s="3" t="s">
        <v>79</v>
      </c>
      <c r="BT37" s="3" t="s">
        <v>79</v>
      </c>
      <c r="BU37" s="3" t="s">
        <v>95</v>
      </c>
      <c r="BV37" s="3" t="s">
        <v>607</v>
      </c>
      <c r="BW37" s="3" t="str">
        <f>HYPERLINK("https%3A%2F%2Fwww.webofscience.com%2Fwos%2Fwoscc%2Ffull-record%2FWOS:000352135600088","View Full Record in Web of Science")</f>
        <v>View Full Record in Web of Science</v>
      </c>
    </row>
    <row r="38" ht="12.75" customHeight="1">
      <c r="A38" s="5" t="s">
        <v>561</v>
      </c>
      <c r="B38" s="7"/>
      <c r="C38" s="5">
        <v>10.0</v>
      </c>
      <c r="D38" s="3" t="s">
        <v>185</v>
      </c>
      <c r="E38" s="3" t="s">
        <v>608</v>
      </c>
      <c r="F38" s="3" t="s">
        <v>79</v>
      </c>
      <c r="G38" s="3" t="s">
        <v>79</v>
      </c>
      <c r="H38" s="3" t="s">
        <v>79</v>
      </c>
      <c r="I38" s="3" t="s">
        <v>609</v>
      </c>
      <c r="J38" s="3" t="s">
        <v>79</v>
      </c>
      <c r="K38" s="3" t="s">
        <v>79</v>
      </c>
      <c r="L38" s="3" t="s">
        <v>610</v>
      </c>
      <c r="M38" s="3" t="s">
        <v>207</v>
      </c>
      <c r="N38" s="3" t="s">
        <v>79</v>
      </c>
      <c r="O38" s="3" t="s">
        <v>79</v>
      </c>
      <c r="P38" s="3" t="s">
        <v>79</v>
      </c>
      <c r="Q38" s="3" t="s">
        <v>190</v>
      </c>
      <c r="R38" s="3" t="s">
        <v>79</v>
      </c>
      <c r="S38" s="3" t="s">
        <v>79</v>
      </c>
      <c r="T38" s="3" t="s">
        <v>79</v>
      </c>
      <c r="U38" s="3" t="s">
        <v>79</v>
      </c>
      <c r="V38" s="3" t="s">
        <v>79</v>
      </c>
      <c r="W38" s="3" t="s">
        <v>611</v>
      </c>
      <c r="X38" s="3" t="s">
        <v>612</v>
      </c>
      <c r="Y38" s="3" t="s">
        <v>613</v>
      </c>
      <c r="Z38" s="3" t="s">
        <v>614</v>
      </c>
      <c r="AA38" s="3" t="s">
        <v>615</v>
      </c>
      <c r="AB38" s="3" t="s">
        <v>616</v>
      </c>
      <c r="AC38" s="3" t="s">
        <v>617</v>
      </c>
      <c r="AD38" s="3" t="s">
        <v>618</v>
      </c>
      <c r="AE38" s="3" t="s">
        <v>619</v>
      </c>
      <c r="AF38" s="3" t="s">
        <v>79</v>
      </c>
      <c r="AG38" s="3" t="s">
        <v>79</v>
      </c>
      <c r="AH38" s="3" t="s">
        <v>79</v>
      </c>
      <c r="AI38" s="3" t="s">
        <v>79</v>
      </c>
      <c r="AJ38" s="3">
        <v>43.0</v>
      </c>
      <c r="AK38" s="3">
        <v>2.0</v>
      </c>
      <c r="AL38" s="3">
        <v>2.0</v>
      </c>
      <c r="AM38" s="3" t="s">
        <v>79</v>
      </c>
      <c r="AN38" s="3" t="s">
        <v>79</v>
      </c>
      <c r="AO38" s="3" t="s">
        <v>79</v>
      </c>
      <c r="AP38" s="3" t="s">
        <v>79</v>
      </c>
      <c r="AQ38" s="3" t="s">
        <v>79</v>
      </c>
      <c r="AR38" s="3" t="s">
        <v>79</v>
      </c>
      <c r="AS38" s="3" t="s">
        <v>79</v>
      </c>
      <c r="AT38" s="3" t="s">
        <v>79</v>
      </c>
      <c r="AU38" s="3" t="s">
        <v>79</v>
      </c>
      <c r="AV38" s="3" t="s">
        <v>79</v>
      </c>
      <c r="AW38" s="3" t="s">
        <v>79</v>
      </c>
      <c r="AX38" s="3">
        <v>2025.0</v>
      </c>
      <c r="AY38" s="3">
        <v>13.0</v>
      </c>
      <c r="AZ38" s="3" t="s">
        <v>79</v>
      </c>
      <c r="BA38" s="3" t="s">
        <v>79</v>
      </c>
      <c r="BB38" s="3" t="s">
        <v>79</v>
      </c>
      <c r="BC38" s="3" t="s">
        <v>79</v>
      </c>
      <c r="BD38" s="3" t="s">
        <v>79</v>
      </c>
      <c r="BE38" s="3">
        <v>2141.0</v>
      </c>
      <c r="BF38" s="3">
        <v>2151.0</v>
      </c>
      <c r="BG38" s="3" t="s">
        <v>79</v>
      </c>
      <c r="BH38" s="3" t="s">
        <v>620</v>
      </c>
      <c r="BI38" s="8" t="str">
        <f>HYPERLINK("http://dx.doi.org/10.1109/ACCESS.2024.3517639","http://dx.doi.org/10.1109/ACCESS.2024.3517639")</f>
        <v>http://dx.doi.org/10.1109/ACCESS.2024.3517639</v>
      </c>
      <c r="BJ38" s="3" t="s">
        <v>79</v>
      </c>
      <c r="BK38" s="3" t="s">
        <v>79</v>
      </c>
      <c r="BL38" s="3" t="s">
        <v>79</v>
      </c>
      <c r="BM38" s="3" t="s">
        <v>79</v>
      </c>
      <c r="BN38" s="3" t="s">
        <v>79</v>
      </c>
      <c r="BO38" s="3" t="s">
        <v>217</v>
      </c>
      <c r="BP38" s="3" t="s">
        <v>79</v>
      </c>
      <c r="BQ38" s="3" t="s">
        <v>79</v>
      </c>
      <c r="BR38" s="3" t="s">
        <v>79</v>
      </c>
      <c r="BS38" s="3" t="s">
        <v>79</v>
      </c>
      <c r="BT38" s="3" t="s">
        <v>79</v>
      </c>
      <c r="BU38" s="3" t="s">
        <v>95</v>
      </c>
      <c r="BV38" s="3" t="s">
        <v>621</v>
      </c>
      <c r="BW38" s="3" t="str">
        <f>HYPERLINK("https%3A%2F%2Fwww.webofscience.com%2Fwos%2Fwoscc%2Ffull-record%2FWOS:001389548300007","View Full Record in Web of Science")</f>
        <v>View Full Record in Web of Science</v>
      </c>
    </row>
    <row r="39" ht="12.75" customHeight="1">
      <c r="A39" s="5" t="s">
        <v>561</v>
      </c>
      <c r="B39" s="7"/>
      <c r="C39" s="5">
        <v>8.0</v>
      </c>
      <c r="D39" s="3" t="s">
        <v>185</v>
      </c>
      <c r="E39" s="3" t="s">
        <v>622</v>
      </c>
      <c r="F39" s="3" t="s">
        <v>79</v>
      </c>
      <c r="G39" s="3" t="s">
        <v>79</v>
      </c>
      <c r="H39" s="3" t="s">
        <v>79</v>
      </c>
      <c r="I39" s="3" t="s">
        <v>623</v>
      </c>
      <c r="J39" s="3" t="s">
        <v>79</v>
      </c>
      <c r="K39" s="3" t="s">
        <v>79</v>
      </c>
      <c r="L39" s="3" t="s">
        <v>624</v>
      </c>
      <c r="M39" s="3" t="s">
        <v>518</v>
      </c>
      <c r="N39" s="3" t="s">
        <v>79</v>
      </c>
      <c r="O39" s="3" t="s">
        <v>79</v>
      </c>
      <c r="P39" s="3" t="s">
        <v>79</v>
      </c>
      <c r="Q39" s="3" t="s">
        <v>190</v>
      </c>
      <c r="R39" s="3" t="s">
        <v>79</v>
      </c>
      <c r="S39" s="3" t="s">
        <v>79</v>
      </c>
      <c r="T39" s="3" t="s">
        <v>79</v>
      </c>
      <c r="U39" s="3" t="s">
        <v>79</v>
      </c>
      <c r="V39" s="3" t="s">
        <v>79</v>
      </c>
      <c r="W39" s="3" t="s">
        <v>625</v>
      </c>
      <c r="X39" s="3" t="s">
        <v>626</v>
      </c>
      <c r="Y39" s="3" t="s">
        <v>627</v>
      </c>
      <c r="Z39" s="3" t="s">
        <v>628</v>
      </c>
      <c r="AA39" s="3" t="s">
        <v>629</v>
      </c>
      <c r="AB39" s="3" t="s">
        <v>630</v>
      </c>
      <c r="AC39" s="3" t="s">
        <v>631</v>
      </c>
      <c r="AD39" s="3" t="s">
        <v>632</v>
      </c>
      <c r="AE39" s="3" t="s">
        <v>633</v>
      </c>
      <c r="AF39" s="3" t="s">
        <v>79</v>
      </c>
      <c r="AG39" s="3" t="s">
        <v>79</v>
      </c>
      <c r="AH39" s="3" t="s">
        <v>79</v>
      </c>
      <c r="AI39" s="3" t="s">
        <v>79</v>
      </c>
      <c r="AJ39" s="3">
        <v>33.0</v>
      </c>
      <c r="AK39" s="3">
        <v>3.0</v>
      </c>
      <c r="AL39" s="3">
        <v>3.0</v>
      </c>
      <c r="AM39" s="3" t="s">
        <v>79</v>
      </c>
      <c r="AN39" s="3" t="s">
        <v>79</v>
      </c>
      <c r="AO39" s="3" t="s">
        <v>79</v>
      </c>
      <c r="AP39" s="3" t="s">
        <v>79</v>
      </c>
      <c r="AQ39" s="3" t="s">
        <v>79</v>
      </c>
      <c r="AR39" s="3" t="s">
        <v>79</v>
      </c>
      <c r="AS39" s="3" t="s">
        <v>79</v>
      </c>
      <c r="AT39" s="3" t="s">
        <v>79</v>
      </c>
      <c r="AU39" s="3" t="s">
        <v>79</v>
      </c>
      <c r="AV39" s="3" t="s">
        <v>79</v>
      </c>
      <c r="AW39" s="3" t="s">
        <v>634</v>
      </c>
      <c r="AX39" s="3">
        <v>2021.0</v>
      </c>
      <c r="AY39" s="3">
        <v>63.0</v>
      </c>
      <c r="AZ39" s="3" t="s">
        <v>79</v>
      </c>
      <c r="BA39" s="3" t="s">
        <v>79</v>
      </c>
      <c r="BB39" s="3" t="s">
        <v>79</v>
      </c>
      <c r="BC39" s="3" t="s">
        <v>79</v>
      </c>
      <c r="BD39" s="3" t="s">
        <v>79</v>
      </c>
      <c r="BE39" s="3" t="s">
        <v>79</v>
      </c>
      <c r="BF39" s="3" t="s">
        <v>79</v>
      </c>
      <c r="BG39" s="3">
        <v>102175.0</v>
      </c>
      <c r="BH39" s="3" t="s">
        <v>635</v>
      </c>
      <c r="BI39" s="8" t="str">
        <f>HYPERLINK("http://dx.doi.org/10.1016/j.bspc.2020.102175","http://dx.doi.org/10.1016/j.bspc.2020.102175")</f>
        <v>http://dx.doi.org/10.1016/j.bspc.2020.102175</v>
      </c>
      <c r="BJ39" s="3" t="s">
        <v>79</v>
      </c>
      <c r="BK39" s="3" t="s">
        <v>79</v>
      </c>
      <c r="BL39" s="3" t="s">
        <v>79</v>
      </c>
      <c r="BM39" s="3" t="s">
        <v>79</v>
      </c>
      <c r="BN39" s="3" t="s">
        <v>79</v>
      </c>
      <c r="BO39" s="3" t="s">
        <v>139</v>
      </c>
      <c r="BP39" s="3" t="s">
        <v>79</v>
      </c>
      <c r="BQ39" s="3" t="s">
        <v>79</v>
      </c>
      <c r="BR39" s="3" t="s">
        <v>79</v>
      </c>
      <c r="BS39" s="3" t="s">
        <v>79</v>
      </c>
      <c r="BT39" s="3" t="s">
        <v>79</v>
      </c>
      <c r="BU39" s="3" t="s">
        <v>95</v>
      </c>
      <c r="BV39" s="3" t="s">
        <v>636</v>
      </c>
      <c r="BW39" s="3" t="str">
        <f>HYPERLINK("https%3A%2F%2Fwww.webofscience.com%2Fwos%2Fwoscc%2Ffull-record%2FWOS:000591530300013","View Full Record in Web of Science")</f>
        <v>View Full Record in Web of Science</v>
      </c>
    </row>
    <row r="40" ht="12.75" customHeight="1">
      <c r="A40" s="5" t="s">
        <v>637</v>
      </c>
      <c r="B40" s="6" t="s">
        <v>638</v>
      </c>
      <c r="C40" s="5">
        <v>6.0</v>
      </c>
      <c r="D40" s="3" t="s">
        <v>77</v>
      </c>
      <c r="E40" s="3" t="s">
        <v>639</v>
      </c>
      <c r="F40" s="3" t="s">
        <v>79</v>
      </c>
      <c r="G40" s="3" t="s">
        <v>640</v>
      </c>
      <c r="H40" s="3" t="s">
        <v>79</v>
      </c>
      <c r="I40" s="3" t="s">
        <v>641</v>
      </c>
      <c r="J40" s="3" t="s">
        <v>79</v>
      </c>
      <c r="K40" s="3" t="s">
        <v>79</v>
      </c>
      <c r="L40" s="3" t="s">
        <v>642</v>
      </c>
      <c r="M40" s="3" t="s">
        <v>643</v>
      </c>
      <c r="N40" s="3" t="s">
        <v>644</v>
      </c>
      <c r="O40" s="3" t="s">
        <v>79</v>
      </c>
      <c r="P40" s="3" t="s">
        <v>79</v>
      </c>
      <c r="Q40" s="3" t="s">
        <v>84</v>
      </c>
      <c r="R40" s="3" t="s">
        <v>79</v>
      </c>
      <c r="S40" s="3" t="s">
        <v>79</v>
      </c>
      <c r="T40" s="3" t="s">
        <v>79</v>
      </c>
      <c r="U40" s="3" t="s">
        <v>79</v>
      </c>
      <c r="V40" s="3" t="s">
        <v>79</v>
      </c>
      <c r="W40" s="3" t="s">
        <v>645</v>
      </c>
      <c r="X40" s="3" t="s">
        <v>79</v>
      </c>
      <c r="Y40" s="3" t="s">
        <v>646</v>
      </c>
      <c r="Z40" s="3" t="s">
        <v>647</v>
      </c>
      <c r="AA40" s="3" t="s">
        <v>648</v>
      </c>
      <c r="AB40" s="3" t="s">
        <v>649</v>
      </c>
      <c r="AC40" s="3" t="s">
        <v>650</v>
      </c>
      <c r="AD40" s="3" t="s">
        <v>651</v>
      </c>
      <c r="AE40" s="3" t="s">
        <v>79</v>
      </c>
      <c r="AF40" s="3" t="s">
        <v>79</v>
      </c>
      <c r="AG40" s="3" t="s">
        <v>79</v>
      </c>
      <c r="AH40" s="3" t="s">
        <v>79</v>
      </c>
      <c r="AI40" s="3" t="s">
        <v>79</v>
      </c>
      <c r="AJ40" s="3">
        <v>10.0</v>
      </c>
      <c r="AK40" s="3">
        <v>1.0</v>
      </c>
      <c r="AL40" s="3">
        <v>1.0</v>
      </c>
      <c r="AM40" s="3" t="s">
        <v>79</v>
      </c>
      <c r="AN40" s="3" t="s">
        <v>79</v>
      </c>
      <c r="AO40" s="3" t="s">
        <v>79</v>
      </c>
      <c r="AP40" s="3" t="s">
        <v>79</v>
      </c>
      <c r="AQ40" s="3" t="s">
        <v>79</v>
      </c>
      <c r="AR40" s="3" t="s">
        <v>79</v>
      </c>
      <c r="AS40" s="3" t="s">
        <v>79</v>
      </c>
      <c r="AT40" s="3" t="s">
        <v>79</v>
      </c>
      <c r="AU40" s="3" t="s">
        <v>79</v>
      </c>
      <c r="AV40" s="3" t="s">
        <v>79</v>
      </c>
      <c r="AW40" s="3" t="s">
        <v>79</v>
      </c>
      <c r="AX40" s="3">
        <v>2014.0</v>
      </c>
      <c r="AY40" s="3">
        <v>665.0</v>
      </c>
      <c r="AZ40" s="3" t="s">
        <v>79</v>
      </c>
      <c r="BA40" s="3" t="s">
        <v>79</v>
      </c>
      <c r="BB40" s="3" t="s">
        <v>79</v>
      </c>
      <c r="BC40" s="3" t="s">
        <v>79</v>
      </c>
      <c r="BD40" s="3" t="s">
        <v>79</v>
      </c>
      <c r="BE40" s="3">
        <v>635.0</v>
      </c>
      <c r="BF40" s="3">
        <v>639.0</v>
      </c>
      <c r="BG40" s="3" t="s">
        <v>79</v>
      </c>
      <c r="BH40" s="3" t="s">
        <v>652</v>
      </c>
      <c r="BI40" s="8" t="str">
        <f>HYPERLINK("http://dx.doi.org/10.4028/www.scientific.net/AMM.665.635","http://dx.doi.org/10.4028/www.scientific.net/AMM.665.635")</f>
        <v>http://dx.doi.org/10.4028/www.scientific.net/AMM.665.635</v>
      </c>
      <c r="BJ40" s="3" t="s">
        <v>79</v>
      </c>
      <c r="BK40" s="3" t="s">
        <v>79</v>
      </c>
      <c r="BL40" s="3" t="s">
        <v>79</v>
      </c>
      <c r="BM40" s="3" t="s">
        <v>79</v>
      </c>
      <c r="BN40" s="3" t="s">
        <v>79</v>
      </c>
      <c r="BO40" s="3" t="s">
        <v>653</v>
      </c>
      <c r="BP40" s="3" t="s">
        <v>79</v>
      </c>
      <c r="BQ40" s="3" t="s">
        <v>79</v>
      </c>
      <c r="BR40" s="3" t="s">
        <v>79</v>
      </c>
      <c r="BS40" s="3" t="s">
        <v>79</v>
      </c>
      <c r="BT40" s="3" t="s">
        <v>79</v>
      </c>
      <c r="BU40" s="3" t="s">
        <v>95</v>
      </c>
      <c r="BV40" s="3" t="s">
        <v>654</v>
      </c>
      <c r="BW40" s="3" t="str">
        <f>HYPERLINK("https%3A%2F%2Fwww.webofscience.com%2Fwos%2Fwoscc%2Ffull-record%2FWOS:000348127000138","View Full Record in Web of Science")</f>
        <v>View Full Record in Web of Science</v>
      </c>
    </row>
    <row r="41" ht="12.75" customHeight="1">
      <c r="A41" s="5" t="s">
        <v>637</v>
      </c>
      <c r="B41" s="7"/>
      <c r="C41" s="5">
        <v>10.0</v>
      </c>
      <c r="D41" s="3" t="s">
        <v>185</v>
      </c>
      <c r="E41" s="3" t="s">
        <v>655</v>
      </c>
      <c r="F41" s="3" t="s">
        <v>79</v>
      </c>
      <c r="G41" s="3" t="s">
        <v>79</v>
      </c>
      <c r="H41" s="3" t="s">
        <v>79</v>
      </c>
      <c r="I41" s="3" t="s">
        <v>656</v>
      </c>
      <c r="J41" s="3" t="s">
        <v>79</v>
      </c>
      <c r="K41" s="3" t="s">
        <v>79</v>
      </c>
      <c r="L41" s="3" t="s">
        <v>657</v>
      </c>
      <c r="M41" s="3" t="s">
        <v>595</v>
      </c>
      <c r="N41" s="3" t="s">
        <v>79</v>
      </c>
      <c r="O41" s="3" t="s">
        <v>79</v>
      </c>
      <c r="P41" s="3" t="s">
        <v>79</v>
      </c>
      <c r="Q41" s="3" t="s">
        <v>190</v>
      </c>
      <c r="R41" s="3" t="s">
        <v>79</v>
      </c>
      <c r="S41" s="3" t="s">
        <v>79</v>
      </c>
      <c r="T41" s="3" t="s">
        <v>79</v>
      </c>
      <c r="U41" s="3" t="s">
        <v>79</v>
      </c>
      <c r="V41" s="3" t="s">
        <v>79</v>
      </c>
      <c r="W41" s="3" t="s">
        <v>79</v>
      </c>
      <c r="X41" s="3" t="s">
        <v>658</v>
      </c>
      <c r="Y41" s="3" t="s">
        <v>659</v>
      </c>
      <c r="Z41" s="3" t="s">
        <v>660</v>
      </c>
      <c r="AA41" s="3" t="s">
        <v>661</v>
      </c>
      <c r="AB41" s="3" t="s">
        <v>662</v>
      </c>
      <c r="AC41" s="3" t="s">
        <v>663</v>
      </c>
      <c r="AD41" s="3" t="s">
        <v>664</v>
      </c>
      <c r="AE41" s="3" t="s">
        <v>665</v>
      </c>
      <c r="AF41" s="3" t="s">
        <v>79</v>
      </c>
      <c r="AG41" s="3" t="s">
        <v>79</v>
      </c>
      <c r="AH41" s="3" t="s">
        <v>79</v>
      </c>
      <c r="AI41" s="3" t="s">
        <v>79</v>
      </c>
      <c r="AJ41" s="3">
        <v>42.0</v>
      </c>
      <c r="AK41" s="3">
        <v>4.0</v>
      </c>
      <c r="AL41" s="3">
        <v>4.0</v>
      </c>
      <c r="AM41" s="3" t="s">
        <v>79</v>
      </c>
      <c r="AN41" s="3" t="s">
        <v>79</v>
      </c>
      <c r="AO41" s="3" t="s">
        <v>79</v>
      </c>
      <c r="AP41" s="3" t="s">
        <v>79</v>
      </c>
      <c r="AQ41" s="3" t="s">
        <v>79</v>
      </c>
      <c r="AR41" s="3" t="s">
        <v>79</v>
      </c>
      <c r="AS41" s="3" t="s">
        <v>79</v>
      </c>
      <c r="AT41" s="3" t="s">
        <v>79</v>
      </c>
      <c r="AU41" s="3" t="s">
        <v>79</v>
      </c>
      <c r="AV41" s="3" t="s">
        <v>79</v>
      </c>
      <c r="AW41" s="3" t="s">
        <v>666</v>
      </c>
      <c r="AX41" s="3">
        <v>2019.0</v>
      </c>
      <c r="AY41" s="3">
        <v>14.0</v>
      </c>
      <c r="AZ41" s="3">
        <v>6.0</v>
      </c>
      <c r="BA41" s="3" t="s">
        <v>79</v>
      </c>
      <c r="BB41" s="3" t="s">
        <v>79</v>
      </c>
      <c r="BC41" s="3" t="s">
        <v>79</v>
      </c>
      <c r="BD41" s="3" t="s">
        <v>79</v>
      </c>
      <c r="BE41" s="3" t="s">
        <v>79</v>
      </c>
      <c r="BF41" s="3" t="s">
        <v>79</v>
      </c>
      <c r="BG41" s="3" t="s">
        <v>667</v>
      </c>
      <c r="BH41" s="3" t="s">
        <v>668</v>
      </c>
      <c r="BI41" s="8" t="str">
        <f>HYPERLINK("http://dx.doi.org/10.1371/journal.pone.0218181","http://dx.doi.org/10.1371/journal.pone.0218181")</f>
        <v>http://dx.doi.org/10.1371/journal.pone.0218181</v>
      </c>
      <c r="BJ41" s="3" t="s">
        <v>79</v>
      </c>
      <c r="BK41" s="3" t="s">
        <v>79</v>
      </c>
      <c r="BL41" s="3" t="s">
        <v>79</v>
      </c>
      <c r="BM41" s="3" t="s">
        <v>79</v>
      </c>
      <c r="BN41" s="3" t="s">
        <v>79</v>
      </c>
      <c r="BO41" s="3" t="s">
        <v>606</v>
      </c>
      <c r="BP41" s="3" t="s">
        <v>79</v>
      </c>
      <c r="BQ41" s="3" t="s">
        <v>79</v>
      </c>
      <c r="BR41" s="3" t="s">
        <v>79</v>
      </c>
      <c r="BS41" s="3" t="s">
        <v>79</v>
      </c>
      <c r="BT41" s="3" t="s">
        <v>79</v>
      </c>
      <c r="BU41" s="3" t="s">
        <v>95</v>
      </c>
      <c r="BV41" s="3" t="s">
        <v>669</v>
      </c>
      <c r="BW41" s="3" t="str">
        <f>HYPERLINK("https%3A%2F%2Fwww.webofscience.com%2Fwos%2Fwoscc%2Ffull-record%2FWOS:000484891700016","View Full Record in Web of Science")</f>
        <v>View Full Record in Web of Science</v>
      </c>
    </row>
    <row r="42" ht="12.75" customHeight="1">
      <c r="A42" s="5" t="s">
        <v>637</v>
      </c>
      <c r="B42" s="7"/>
      <c r="C42" s="5">
        <v>1.0</v>
      </c>
      <c r="D42" s="3" t="s">
        <v>77</v>
      </c>
      <c r="E42" s="3" t="s">
        <v>670</v>
      </c>
      <c r="F42" s="3" t="s">
        <v>79</v>
      </c>
      <c r="G42" s="3" t="s">
        <v>79</v>
      </c>
      <c r="H42" s="3" t="s">
        <v>80</v>
      </c>
      <c r="I42" s="3" t="s">
        <v>671</v>
      </c>
      <c r="J42" s="3" t="s">
        <v>79</v>
      </c>
      <c r="K42" s="3" t="s">
        <v>79</v>
      </c>
      <c r="L42" s="3" t="s">
        <v>672</v>
      </c>
      <c r="M42" s="3" t="s">
        <v>673</v>
      </c>
      <c r="N42" s="3" t="s">
        <v>79</v>
      </c>
      <c r="O42" s="3" t="s">
        <v>79</v>
      </c>
      <c r="P42" s="3" t="s">
        <v>79</v>
      </c>
      <c r="Q42" s="3" t="s">
        <v>84</v>
      </c>
      <c r="R42" s="3" t="s">
        <v>79</v>
      </c>
      <c r="S42" s="3" t="s">
        <v>79</v>
      </c>
      <c r="T42" s="3" t="s">
        <v>79</v>
      </c>
      <c r="U42" s="3" t="s">
        <v>79</v>
      </c>
      <c r="V42" s="3" t="s">
        <v>79</v>
      </c>
      <c r="W42" s="3" t="s">
        <v>79</v>
      </c>
      <c r="X42" s="3" t="s">
        <v>674</v>
      </c>
      <c r="Y42" s="3" t="s">
        <v>675</v>
      </c>
      <c r="Z42" s="3" t="s">
        <v>676</v>
      </c>
      <c r="AA42" s="3" t="s">
        <v>677</v>
      </c>
      <c r="AB42" s="3" t="s">
        <v>678</v>
      </c>
      <c r="AC42" s="3" t="s">
        <v>79</v>
      </c>
      <c r="AD42" s="3" t="s">
        <v>79</v>
      </c>
      <c r="AE42" s="3" t="s">
        <v>679</v>
      </c>
      <c r="AF42" s="3" t="s">
        <v>79</v>
      </c>
      <c r="AG42" s="3" t="s">
        <v>79</v>
      </c>
      <c r="AH42" s="3" t="s">
        <v>79</v>
      </c>
      <c r="AI42" s="3" t="s">
        <v>79</v>
      </c>
      <c r="AJ42" s="3">
        <v>19.0</v>
      </c>
      <c r="AK42" s="3">
        <v>7.0</v>
      </c>
      <c r="AL42" s="3">
        <v>10.0</v>
      </c>
      <c r="AM42" s="3" t="s">
        <v>79</v>
      </c>
      <c r="AN42" s="3" t="s">
        <v>79</v>
      </c>
      <c r="AO42" s="3" t="s">
        <v>79</v>
      </c>
      <c r="AP42" s="3" t="s">
        <v>79</v>
      </c>
      <c r="AQ42" s="3" t="s">
        <v>79</v>
      </c>
      <c r="AR42" s="3" t="s">
        <v>79</v>
      </c>
      <c r="AS42" s="3" t="s">
        <v>79</v>
      </c>
      <c r="AT42" s="3" t="s">
        <v>79</v>
      </c>
      <c r="AU42" s="3" t="s">
        <v>79</v>
      </c>
      <c r="AV42" s="3" t="s">
        <v>79</v>
      </c>
      <c r="AW42" s="3" t="s">
        <v>79</v>
      </c>
      <c r="AX42" s="3">
        <v>2018.0</v>
      </c>
      <c r="AY42" s="3" t="s">
        <v>79</v>
      </c>
      <c r="AZ42" s="3" t="s">
        <v>79</v>
      </c>
      <c r="BA42" s="3" t="s">
        <v>79</v>
      </c>
      <c r="BB42" s="3" t="s">
        <v>79</v>
      </c>
      <c r="BC42" s="3" t="s">
        <v>79</v>
      </c>
      <c r="BD42" s="3" t="s">
        <v>79</v>
      </c>
      <c r="BE42" s="3">
        <v>183.0</v>
      </c>
      <c r="BF42" s="3">
        <v>188.0</v>
      </c>
      <c r="BG42" s="3" t="s">
        <v>79</v>
      </c>
      <c r="BH42" s="3" t="s">
        <v>680</v>
      </c>
      <c r="BI42" s="8" t="str">
        <f>HYPERLINK("http://dx.doi.org/10.1109/IRC.2018.00040","http://dx.doi.org/10.1109/IRC.2018.00040")</f>
        <v>http://dx.doi.org/10.1109/IRC.2018.00040</v>
      </c>
      <c r="BJ42" s="3" t="s">
        <v>79</v>
      </c>
      <c r="BK42" s="3" t="s">
        <v>79</v>
      </c>
      <c r="BL42" s="3" t="s">
        <v>79</v>
      </c>
      <c r="BM42" s="3" t="s">
        <v>79</v>
      </c>
      <c r="BN42" s="3" t="s">
        <v>79</v>
      </c>
      <c r="BO42" s="3" t="s">
        <v>438</v>
      </c>
      <c r="BP42" s="3" t="s">
        <v>79</v>
      </c>
      <c r="BQ42" s="3" t="s">
        <v>79</v>
      </c>
      <c r="BR42" s="3" t="s">
        <v>79</v>
      </c>
      <c r="BS42" s="3" t="s">
        <v>79</v>
      </c>
      <c r="BT42" s="3" t="s">
        <v>79</v>
      </c>
      <c r="BU42" s="3" t="s">
        <v>95</v>
      </c>
      <c r="BV42" s="3" t="s">
        <v>681</v>
      </c>
      <c r="BW42" s="3" t="str">
        <f>HYPERLINK("https%3A%2F%2Fwww.webofscience.com%2Fwos%2Fwoscc%2Ffull-record%2FWOS:000450646400031","View Full Record in Web of Science")</f>
        <v>View Full Record in Web of Science</v>
      </c>
    </row>
    <row r="43" ht="12.75" customHeight="1">
      <c r="A43" s="5" t="s">
        <v>637</v>
      </c>
      <c r="B43" s="7"/>
      <c r="C43" s="5">
        <v>2.0</v>
      </c>
      <c r="D43" s="3" t="s">
        <v>185</v>
      </c>
      <c r="E43" s="3" t="s">
        <v>682</v>
      </c>
      <c r="F43" s="3" t="s">
        <v>79</v>
      </c>
      <c r="G43" s="3" t="s">
        <v>79</v>
      </c>
      <c r="H43" s="3" t="s">
        <v>79</v>
      </c>
      <c r="I43" s="3" t="s">
        <v>683</v>
      </c>
      <c r="J43" s="3" t="s">
        <v>79</v>
      </c>
      <c r="K43" s="3" t="s">
        <v>79</v>
      </c>
      <c r="L43" s="3" t="s">
        <v>684</v>
      </c>
      <c r="M43" s="3" t="s">
        <v>685</v>
      </c>
      <c r="N43" s="3" t="s">
        <v>79</v>
      </c>
      <c r="O43" s="3" t="s">
        <v>79</v>
      </c>
      <c r="P43" s="3" t="s">
        <v>79</v>
      </c>
      <c r="Q43" s="3" t="s">
        <v>190</v>
      </c>
      <c r="R43" s="3" t="s">
        <v>79</v>
      </c>
      <c r="S43" s="3" t="s">
        <v>79</v>
      </c>
      <c r="T43" s="3" t="s">
        <v>79</v>
      </c>
      <c r="U43" s="3" t="s">
        <v>79</v>
      </c>
      <c r="V43" s="3" t="s">
        <v>79</v>
      </c>
      <c r="W43" s="3" t="s">
        <v>686</v>
      </c>
      <c r="X43" s="3" t="s">
        <v>687</v>
      </c>
      <c r="Y43" s="3" t="s">
        <v>688</v>
      </c>
      <c r="Z43" s="3" t="s">
        <v>689</v>
      </c>
      <c r="AA43" s="3" t="s">
        <v>690</v>
      </c>
      <c r="AB43" s="3" t="s">
        <v>691</v>
      </c>
      <c r="AC43" s="3" t="s">
        <v>692</v>
      </c>
      <c r="AD43" s="3" t="s">
        <v>693</v>
      </c>
      <c r="AE43" s="3" t="s">
        <v>694</v>
      </c>
      <c r="AF43" s="3" t="s">
        <v>79</v>
      </c>
      <c r="AG43" s="3" t="s">
        <v>79</v>
      </c>
      <c r="AH43" s="3" t="s">
        <v>79</v>
      </c>
      <c r="AI43" s="3" t="s">
        <v>79</v>
      </c>
      <c r="AJ43" s="3">
        <v>28.0</v>
      </c>
      <c r="AK43" s="3">
        <v>22.0</v>
      </c>
      <c r="AL43" s="3">
        <v>27.0</v>
      </c>
      <c r="AM43" s="3" t="s">
        <v>79</v>
      </c>
      <c r="AN43" s="3" t="s">
        <v>79</v>
      </c>
      <c r="AO43" s="3" t="s">
        <v>79</v>
      </c>
      <c r="AP43" s="3" t="s">
        <v>79</v>
      </c>
      <c r="AQ43" s="3" t="s">
        <v>79</v>
      </c>
      <c r="AR43" s="3" t="s">
        <v>79</v>
      </c>
      <c r="AS43" s="3" t="s">
        <v>79</v>
      </c>
      <c r="AT43" s="3" t="s">
        <v>79</v>
      </c>
      <c r="AU43" s="3" t="s">
        <v>79</v>
      </c>
      <c r="AV43" s="3" t="s">
        <v>79</v>
      </c>
      <c r="AW43" s="3" t="s">
        <v>695</v>
      </c>
      <c r="AX43" s="3">
        <v>2016.0</v>
      </c>
      <c r="AY43" s="3">
        <v>40.0</v>
      </c>
      <c r="AZ43" s="3">
        <v>3.0</v>
      </c>
      <c r="BA43" s="3" t="s">
        <v>79</v>
      </c>
      <c r="BB43" s="3" t="s">
        <v>79</v>
      </c>
      <c r="BC43" s="3" t="s">
        <v>79</v>
      </c>
      <c r="BD43" s="3" t="s">
        <v>79</v>
      </c>
      <c r="BE43" s="3" t="s">
        <v>79</v>
      </c>
      <c r="BF43" s="3" t="s">
        <v>79</v>
      </c>
      <c r="BG43" s="3">
        <v>71.0</v>
      </c>
      <c r="BH43" s="3" t="s">
        <v>696</v>
      </c>
      <c r="BI43" s="8" t="str">
        <f>HYPERLINK("http://dx.doi.org/10.1007/s10916-015-0429-6","http://dx.doi.org/10.1007/s10916-015-0429-6")</f>
        <v>http://dx.doi.org/10.1007/s10916-015-0429-6</v>
      </c>
      <c r="BJ43" s="3" t="s">
        <v>79</v>
      </c>
      <c r="BK43" s="3" t="s">
        <v>79</v>
      </c>
      <c r="BL43" s="3" t="s">
        <v>79</v>
      </c>
      <c r="BM43" s="3" t="s">
        <v>79</v>
      </c>
      <c r="BN43" s="3" t="s">
        <v>79</v>
      </c>
      <c r="BO43" s="3" t="s">
        <v>697</v>
      </c>
      <c r="BP43" s="3" t="s">
        <v>79</v>
      </c>
      <c r="BQ43" s="3" t="s">
        <v>79</v>
      </c>
      <c r="BR43" s="3" t="s">
        <v>79</v>
      </c>
      <c r="BS43" s="3" t="s">
        <v>79</v>
      </c>
      <c r="BT43" s="3" t="s">
        <v>79</v>
      </c>
      <c r="BU43" s="3" t="s">
        <v>95</v>
      </c>
      <c r="BV43" s="3" t="s">
        <v>698</v>
      </c>
      <c r="BW43" s="3" t="str">
        <f>HYPERLINK("https%3A%2F%2Fwww.webofscience.com%2Fwos%2Fwoscc%2Ffull-record%2FWOS:000368730900027","View Full Record in Web of Science")</f>
        <v>View Full Record in Web of Science</v>
      </c>
    </row>
    <row r="44" ht="12.75" customHeight="1">
      <c r="A44" s="5" t="s">
        <v>637</v>
      </c>
      <c r="B44" s="7"/>
      <c r="C44" s="5">
        <v>4.0</v>
      </c>
      <c r="D44" s="3" t="s">
        <v>77</v>
      </c>
      <c r="E44" s="3" t="s">
        <v>699</v>
      </c>
      <c r="F44" s="3" t="s">
        <v>79</v>
      </c>
      <c r="G44" s="3" t="s">
        <v>79</v>
      </c>
      <c r="H44" s="3" t="s">
        <v>80</v>
      </c>
      <c r="I44" s="3" t="s">
        <v>700</v>
      </c>
      <c r="J44" s="3" t="s">
        <v>79</v>
      </c>
      <c r="K44" s="3" t="s">
        <v>79</v>
      </c>
      <c r="L44" s="3" t="s">
        <v>701</v>
      </c>
      <c r="M44" s="3" t="s">
        <v>702</v>
      </c>
      <c r="N44" s="3" t="s">
        <v>703</v>
      </c>
      <c r="O44" s="3" t="s">
        <v>79</v>
      </c>
      <c r="P44" s="3" t="s">
        <v>79</v>
      </c>
      <c r="Q44" s="3" t="s">
        <v>84</v>
      </c>
      <c r="R44" s="3" t="s">
        <v>79</v>
      </c>
      <c r="S44" s="3" t="s">
        <v>79</v>
      </c>
      <c r="T44" s="3" t="s">
        <v>79</v>
      </c>
      <c r="U44" s="3" t="s">
        <v>79</v>
      </c>
      <c r="V44" s="3" t="s">
        <v>79</v>
      </c>
      <c r="W44" s="3" t="s">
        <v>704</v>
      </c>
      <c r="X44" s="3" t="s">
        <v>705</v>
      </c>
      <c r="Y44" s="3" t="s">
        <v>706</v>
      </c>
      <c r="Z44" s="3" t="s">
        <v>707</v>
      </c>
      <c r="AA44" s="3" t="s">
        <v>708</v>
      </c>
      <c r="AB44" s="3" t="s">
        <v>709</v>
      </c>
      <c r="AC44" s="3" t="s">
        <v>710</v>
      </c>
      <c r="AD44" s="3" t="s">
        <v>79</v>
      </c>
      <c r="AE44" s="3" t="s">
        <v>711</v>
      </c>
      <c r="AF44" s="3" t="s">
        <v>79</v>
      </c>
      <c r="AG44" s="3" t="s">
        <v>79</v>
      </c>
      <c r="AH44" s="3" t="s">
        <v>79</v>
      </c>
      <c r="AI44" s="3" t="s">
        <v>79</v>
      </c>
      <c r="AJ44" s="3">
        <v>17.0</v>
      </c>
      <c r="AK44" s="3">
        <v>21.0</v>
      </c>
      <c r="AL44" s="3">
        <v>23.0</v>
      </c>
      <c r="AM44" s="3" t="s">
        <v>79</v>
      </c>
      <c r="AN44" s="3" t="s">
        <v>79</v>
      </c>
      <c r="AO44" s="3" t="s">
        <v>79</v>
      </c>
      <c r="AP44" s="3" t="s">
        <v>79</v>
      </c>
      <c r="AQ44" s="3" t="s">
        <v>79</v>
      </c>
      <c r="AR44" s="3" t="s">
        <v>79</v>
      </c>
      <c r="AS44" s="3" t="s">
        <v>79</v>
      </c>
      <c r="AT44" s="3" t="s">
        <v>79</v>
      </c>
      <c r="AU44" s="3" t="s">
        <v>79</v>
      </c>
      <c r="AV44" s="3" t="s">
        <v>79</v>
      </c>
      <c r="AW44" s="3" t="s">
        <v>79</v>
      </c>
      <c r="AX44" s="3">
        <v>2014.0</v>
      </c>
      <c r="AY44" s="3" t="s">
        <v>79</v>
      </c>
      <c r="AZ44" s="3" t="s">
        <v>79</v>
      </c>
      <c r="BA44" s="3" t="s">
        <v>79</v>
      </c>
      <c r="BB44" s="3" t="s">
        <v>79</v>
      </c>
      <c r="BC44" s="3" t="s">
        <v>79</v>
      </c>
      <c r="BD44" s="3" t="s">
        <v>79</v>
      </c>
      <c r="BE44" s="3">
        <v>1858.0</v>
      </c>
      <c r="BF44" s="3">
        <v>1863.0</v>
      </c>
      <c r="BG44" s="3" t="s">
        <v>79</v>
      </c>
      <c r="BH44" s="3" t="s">
        <v>79</v>
      </c>
      <c r="BI44" s="3" t="s">
        <v>79</v>
      </c>
      <c r="BJ44" s="3" t="s">
        <v>79</v>
      </c>
      <c r="BK44" s="3" t="s">
        <v>79</v>
      </c>
      <c r="BL44" s="3" t="s">
        <v>79</v>
      </c>
      <c r="BM44" s="3" t="s">
        <v>79</v>
      </c>
      <c r="BN44" s="3" t="s">
        <v>79</v>
      </c>
      <c r="BO44" s="3" t="s">
        <v>275</v>
      </c>
      <c r="BP44" s="3" t="s">
        <v>79</v>
      </c>
      <c r="BQ44" s="3" t="s">
        <v>79</v>
      </c>
      <c r="BR44" s="3" t="s">
        <v>79</v>
      </c>
      <c r="BS44" s="3" t="s">
        <v>79</v>
      </c>
      <c r="BT44" s="3" t="s">
        <v>79</v>
      </c>
      <c r="BU44" s="3" t="s">
        <v>95</v>
      </c>
      <c r="BV44" s="3" t="s">
        <v>712</v>
      </c>
      <c r="BW44" s="3" t="str">
        <f>HYPERLINK("https%3A%2F%2Fwww.webofscience.com%2Fwos%2Fwoscc%2Ffull-record%2FWOS:000370963701168","View Full Record in Web of Science")</f>
        <v>View Full Record in Web of Science</v>
      </c>
    </row>
    <row r="45" ht="12.75" customHeight="1">
      <c r="A45" s="5" t="s">
        <v>637</v>
      </c>
      <c r="B45" s="7"/>
      <c r="C45" s="5">
        <v>7.0</v>
      </c>
      <c r="D45" s="3" t="s">
        <v>77</v>
      </c>
      <c r="E45" s="3" t="s">
        <v>713</v>
      </c>
      <c r="F45" s="3" t="s">
        <v>79</v>
      </c>
      <c r="G45" s="3" t="s">
        <v>79</v>
      </c>
      <c r="H45" s="3" t="s">
        <v>80</v>
      </c>
      <c r="I45" s="3" t="s">
        <v>714</v>
      </c>
      <c r="J45" s="3" t="s">
        <v>79</v>
      </c>
      <c r="K45" s="3" t="s">
        <v>79</v>
      </c>
      <c r="L45" s="3" t="s">
        <v>715</v>
      </c>
      <c r="M45" s="3" t="s">
        <v>716</v>
      </c>
      <c r="N45" s="3" t="s">
        <v>254</v>
      </c>
      <c r="O45" s="3" t="s">
        <v>79</v>
      </c>
      <c r="P45" s="3" t="s">
        <v>79</v>
      </c>
      <c r="Q45" s="3" t="s">
        <v>84</v>
      </c>
      <c r="R45" s="3" t="s">
        <v>79</v>
      </c>
      <c r="S45" s="3" t="s">
        <v>79</v>
      </c>
      <c r="T45" s="3" t="s">
        <v>79</v>
      </c>
      <c r="U45" s="3" t="s">
        <v>79</v>
      </c>
      <c r="V45" s="3" t="s">
        <v>79</v>
      </c>
      <c r="W45" s="3" t="s">
        <v>79</v>
      </c>
      <c r="X45" s="3" t="s">
        <v>717</v>
      </c>
      <c r="Y45" s="3" t="s">
        <v>718</v>
      </c>
      <c r="Z45" s="3" t="s">
        <v>719</v>
      </c>
      <c r="AA45" s="3" t="s">
        <v>599</v>
      </c>
      <c r="AB45" s="3" t="s">
        <v>720</v>
      </c>
      <c r="AC45" s="3" t="s">
        <v>721</v>
      </c>
      <c r="AD45" s="3" t="s">
        <v>79</v>
      </c>
      <c r="AE45" s="3" t="s">
        <v>722</v>
      </c>
      <c r="AF45" s="3" t="s">
        <v>79</v>
      </c>
      <c r="AG45" s="3" t="s">
        <v>79</v>
      </c>
      <c r="AH45" s="3" t="s">
        <v>79</v>
      </c>
      <c r="AI45" s="3" t="s">
        <v>79</v>
      </c>
      <c r="AJ45" s="3">
        <v>28.0</v>
      </c>
      <c r="AK45" s="3">
        <v>2.0</v>
      </c>
      <c r="AL45" s="3">
        <v>2.0</v>
      </c>
      <c r="AM45" s="3" t="s">
        <v>79</v>
      </c>
      <c r="AN45" s="3" t="s">
        <v>79</v>
      </c>
      <c r="AO45" s="3" t="s">
        <v>79</v>
      </c>
      <c r="AP45" s="3" t="s">
        <v>79</v>
      </c>
      <c r="AQ45" s="3" t="s">
        <v>79</v>
      </c>
      <c r="AR45" s="3" t="s">
        <v>79</v>
      </c>
      <c r="AS45" s="3" t="s">
        <v>79</v>
      </c>
      <c r="AT45" s="3" t="s">
        <v>79</v>
      </c>
      <c r="AU45" s="3" t="s">
        <v>79</v>
      </c>
      <c r="AV45" s="3" t="s">
        <v>79</v>
      </c>
      <c r="AW45" s="3" t="s">
        <v>79</v>
      </c>
      <c r="AX45" s="3">
        <v>2022.0</v>
      </c>
      <c r="AY45" s="3" t="s">
        <v>79</v>
      </c>
      <c r="AZ45" s="3" t="s">
        <v>79</v>
      </c>
      <c r="BA45" s="3" t="s">
        <v>79</v>
      </c>
      <c r="BB45" s="3" t="s">
        <v>79</v>
      </c>
      <c r="BC45" s="3" t="s">
        <v>79</v>
      </c>
      <c r="BD45" s="3" t="s">
        <v>79</v>
      </c>
      <c r="BE45" s="3">
        <v>309.0</v>
      </c>
      <c r="BF45" s="3">
        <v>312.0</v>
      </c>
      <c r="BG45" s="3" t="s">
        <v>79</v>
      </c>
      <c r="BH45" s="3" t="s">
        <v>723</v>
      </c>
      <c r="BI45" s="8" t="str">
        <f>HYPERLINK("http://dx.doi.org/10.1109/EMBC48229.2022.9871566","http://dx.doi.org/10.1109/EMBC48229.2022.9871566")</f>
        <v>http://dx.doi.org/10.1109/EMBC48229.2022.9871566</v>
      </c>
      <c r="BJ45" s="3" t="s">
        <v>79</v>
      </c>
      <c r="BK45" s="3" t="s">
        <v>79</v>
      </c>
      <c r="BL45" s="3" t="s">
        <v>79</v>
      </c>
      <c r="BM45" s="3" t="s">
        <v>79</v>
      </c>
      <c r="BN45" s="3" t="s">
        <v>79</v>
      </c>
      <c r="BO45" s="3" t="s">
        <v>152</v>
      </c>
      <c r="BP45" s="3" t="s">
        <v>79</v>
      </c>
      <c r="BQ45" s="3" t="s">
        <v>79</v>
      </c>
      <c r="BR45" s="3" t="s">
        <v>79</v>
      </c>
      <c r="BS45" s="3" t="s">
        <v>79</v>
      </c>
      <c r="BT45" s="3" t="s">
        <v>79</v>
      </c>
      <c r="BU45" s="3" t="s">
        <v>95</v>
      </c>
      <c r="BV45" s="3" t="s">
        <v>724</v>
      </c>
      <c r="BW45" s="3" t="str">
        <f>HYPERLINK("https%3A%2F%2Fwww.webofscience.com%2Fwos%2Fwoscc%2Ffull-record%2FWOS:001251147200070","View Full Record in Web of Science")</f>
        <v>View Full Record in Web of Science</v>
      </c>
    </row>
    <row r="46" ht="12.75" customHeight="1">
      <c r="A46" s="5" t="s">
        <v>637</v>
      </c>
      <c r="B46" s="7"/>
      <c r="C46" s="5">
        <v>2.0</v>
      </c>
      <c r="D46" s="3" t="s">
        <v>77</v>
      </c>
      <c r="E46" s="3" t="s">
        <v>725</v>
      </c>
      <c r="F46" s="3" t="s">
        <v>79</v>
      </c>
      <c r="G46" s="3" t="s">
        <v>726</v>
      </c>
      <c r="H46" s="3" t="s">
        <v>79</v>
      </c>
      <c r="I46" s="3" t="s">
        <v>727</v>
      </c>
      <c r="J46" s="3" t="s">
        <v>79</v>
      </c>
      <c r="K46" s="3" t="s">
        <v>79</v>
      </c>
      <c r="L46" s="3" t="s">
        <v>728</v>
      </c>
      <c r="M46" s="3" t="s">
        <v>729</v>
      </c>
      <c r="N46" s="3" t="s">
        <v>730</v>
      </c>
      <c r="O46" s="3" t="s">
        <v>79</v>
      </c>
      <c r="P46" s="3" t="s">
        <v>79</v>
      </c>
      <c r="Q46" s="3" t="s">
        <v>84</v>
      </c>
      <c r="R46" s="3" t="s">
        <v>79</v>
      </c>
      <c r="S46" s="3" t="s">
        <v>79</v>
      </c>
      <c r="T46" s="3" t="s">
        <v>79</v>
      </c>
      <c r="U46" s="3" t="s">
        <v>79</v>
      </c>
      <c r="V46" s="3" t="s">
        <v>79</v>
      </c>
      <c r="W46" s="3" t="s">
        <v>731</v>
      </c>
      <c r="X46" s="3" t="s">
        <v>732</v>
      </c>
      <c r="Y46" s="3" t="s">
        <v>733</v>
      </c>
      <c r="Z46" s="3" t="s">
        <v>734</v>
      </c>
      <c r="AA46" s="3" t="s">
        <v>735</v>
      </c>
      <c r="AB46" s="3" t="s">
        <v>736</v>
      </c>
      <c r="AC46" s="3" t="s">
        <v>737</v>
      </c>
      <c r="AD46" s="3" t="s">
        <v>79</v>
      </c>
      <c r="AE46" s="3" t="s">
        <v>79</v>
      </c>
      <c r="AF46" s="3" t="s">
        <v>79</v>
      </c>
      <c r="AG46" s="3" t="s">
        <v>79</v>
      </c>
      <c r="AH46" s="3" t="s">
        <v>79</v>
      </c>
      <c r="AI46" s="3" t="s">
        <v>79</v>
      </c>
      <c r="AJ46" s="3">
        <v>49.0</v>
      </c>
      <c r="AK46" s="3">
        <v>0.0</v>
      </c>
      <c r="AL46" s="3">
        <v>0.0</v>
      </c>
      <c r="AM46" s="3" t="s">
        <v>79</v>
      </c>
      <c r="AN46" s="3" t="s">
        <v>79</v>
      </c>
      <c r="AO46" s="3" t="s">
        <v>79</v>
      </c>
      <c r="AP46" s="3" t="s">
        <v>79</v>
      </c>
      <c r="AQ46" s="3" t="s">
        <v>79</v>
      </c>
      <c r="AR46" s="3" t="s">
        <v>79</v>
      </c>
      <c r="AS46" s="3" t="s">
        <v>79</v>
      </c>
      <c r="AT46" s="3" t="s">
        <v>79</v>
      </c>
      <c r="AU46" s="3" t="s">
        <v>79</v>
      </c>
      <c r="AV46" s="3" t="s">
        <v>79</v>
      </c>
      <c r="AW46" s="3" t="s">
        <v>79</v>
      </c>
      <c r="AX46" s="3">
        <v>2022.0</v>
      </c>
      <c r="AY46" s="3">
        <v>1701.0</v>
      </c>
      <c r="AZ46" s="3" t="s">
        <v>79</v>
      </c>
      <c r="BA46" s="3" t="s">
        <v>79</v>
      </c>
      <c r="BB46" s="3" t="s">
        <v>79</v>
      </c>
      <c r="BC46" s="3" t="s">
        <v>79</v>
      </c>
      <c r="BD46" s="3" t="s">
        <v>79</v>
      </c>
      <c r="BE46" s="3">
        <v>81.0</v>
      </c>
      <c r="BF46" s="3">
        <v>94.0</v>
      </c>
      <c r="BG46" s="3" t="s">
        <v>79</v>
      </c>
      <c r="BH46" s="3" t="s">
        <v>738</v>
      </c>
      <c r="BI46" s="8" t="str">
        <f>HYPERLINK("http://dx.doi.org/10.1007/978-981-19-7943-9_7","http://dx.doi.org/10.1007/978-981-19-7943-9_7")</f>
        <v>http://dx.doi.org/10.1007/978-981-19-7943-9_7</v>
      </c>
      <c r="BJ46" s="3" t="s">
        <v>79</v>
      </c>
      <c r="BK46" s="3" t="s">
        <v>79</v>
      </c>
      <c r="BL46" s="3" t="s">
        <v>79</v>
      </c>
      <c r="BM46" s="3" t="s">
        <v>79</v>
      </c>
      <c r="BN46" s="3" t="s">
        <v>79</v>
      </c>
      <c r="BO46" s="3" t="s">
        <v>438</v>
      </c>
      <c r="BP46" s="3" t="s">
        <v>79</v>
      </c>
      <c r="BQ46" s="3" t="s">
        <v>79</v>
      </c>
      <c r="BR46" s="3" t="s">
        <v>79</v>
      </c>
      <c r="BS46" s="3" t="s">
        <v>79</v>
      </c>
      <c r="BT46" s="3" t="s">
        <v>79</v>
      </c>
      <c r="BU46" s="3" t="s">
        <v>95</v>
      </c>
      <c r="BV46" s="3" t="s">
        <v>739</v>
      </c>
      <c r="BW46" s="3" t="str">
        <f>HYPERLINK("https%3A%2F%2Fwww.webofscience.com%2Fwos%2Fwoscc%2Ffull-record%2FWOS:001307190300007","View Full Record in Web of Science")</f>
        <v>View Full Record in Web of Science</v>
      </c>
    </row>
    <row r="47" ht="12.75" customHeight="1">
      <c r="A47" s="5" t="s">
        <v>637</v>
      </c>
      <c r="B47" s="7"/>
      <c r="C47" s="5">
        <v>3.0</v>
      </c>
      <c r="D47" s="3" t="s">
        <v>185</v>
      </c>
      <c r="E47" s="3" t="s">
        <v>740</v>
      </c>
      <c r="F47" s="3" t="s">
        <v>79</v>
      </c>
      <c r="G47" s="3" t="s">
        <v>79</v>
      </c>
      <c r="H47" s="3" t="s">
        <v>79</v>
      </c>
      <c r="I47" s="3" t="s">
        <v>741</v>
      </c>
      <c r="J47" s="3" t="s">
        <v>79</v>
      </c>
      <c r="K47" s="3" t="s">
        <v>79</v>
      </c>
      <c r="L47" s="3" t="s">
        <v>742</v>
      </c>
      <c r="M47" s="3" t="s">
        <v>743</v>
      </c>
      <c r="N47" s="3" t="s">
        <v>79</v>
      </c>
      <c r="O47" s="3" t="s">
        <v>79</v>
      </c>
      <c r="P47" s="3" t="s">
        <v>79</v>
      </c>
      <c r="Q47" s="3" t="s">
        <v>190</v>
      </c>
      <c r="R47" s="3" t="s">
        <v>79</v>
      </c>
      <c r="S47" s="3" t="s">
        <v>79</v>
      </c>
      <c r="T47" s="3" t="s">
        <v>79</v>
      </c>
      <c r="U47" s="3" t="s">
        <v>79</v>
      </c>
      <c r="V47" s="3" t="s">
        <v>79</v>
      </c>
      <c r="W47" s="3" t="s">
        <v>744</v>
      </c>
      <c r="X47" s="3" t="s">
        <v>745</v>
      </c>
      <c r="Y47" s="3" t="s">
        <v>746</v>
      </c>
      <c r="Z47" s="3" t="s">
        <v>747</v>
      </c>
      <c r="AA47" s="3" t="s">
        <v>748</v>
      </c>
      <c r="AB47" s="3" t="s">
        <v>749</v>
      </c>
      <c r="AC47" s="3" t="s">
        <v>750</v>
      </c>
      <c r="AD47" s="3" t="s">
        <v>751</v>
      </c>
      <c r="AE47" s="3" t="s">
        <v>752</v>
      </c>
      <c r="AF47" s="3" t="s">
        <v>79</v>
      </c>
      <c r="AG47" s="3" t="s">
        <v>79</v>
      </c>
      <c r="AH47" s="3" t="s">
        <v>79</v>
      </c>
      <c r="AI47" s="3" t="s">
        <v>79</v>
      </c>
      <c r="AJ47" s="3">
        <v>163.0</v>
      </c>
      <c r="AK47" s="3">
        <v>264.0</v>
      </c>
      <c r="AL47" s="3">
        <v>298.0</v>
      </c>
      <c r="AM47" s="3" t="s">
        <v>79</v>
      </c>
      <c r="AN47" s="3" t="s">
        <v>79</v>
      </c>
      <c r="AO47" s="3" t="s">
        <v>79</v>
      </c>
      <c r="AP47" s="3" t="s">
        <v>79</v>
      </c>
      <c r="AQ47" s="3" t="s">
        <v>79</v>
      </c>
      <c r="AR47" s="3" t="s">
        <v>79</v>
      </c>
      <c r="AS47" s="3" t="s">
        <v>79</v>
      </c>
      <c r="AT47" s="3" t="s">
        <v>79</v>
      </c>
      <c r="AU47" s="3" t="s">
        <v>79</v>
      </c>
      <c r="AV47" s="3" t="s">
        <v>79</v>
      </c>
      <c r="AW47" s="3" t="s">
        <v>695</v>
      </c>
      <c r="AX47" s="3">
        <v>2013.0</v>
      </c>
      <c r="AY47" s="3">
        <v>43.0</v>
      </c>
      <c r="AZ47" s="3">
        <v>2.0</v>
      </c>
      <c r="BA47" s="3" t="s">
        <v>79</v>
      </c>
      <c r="BB47" s="3" t="s">
        <v>79</v>
      </c>
      <c r="BC47" s="3" t="s">
        <v>79</v>
      </c>
      <c r="BD47" s="3" t="s">
        <v>79</v>
      </c>
      <c r="BE47" s="3">
        <v>161.0</v>
      </c>
      <c r="BF47" s="3">
        <v>176.0</v>
      </c>
      <c r="BG47" s="3" t="s">
        <v>79</v>
      </c>
      <c r="BH47" s="3" t="s">
        <v>753</v>
      </c>
      <c r="BI47" s="8" t="str">
        <f>HYPERLINK("http://dx.doi.org/10.1109/TSMCC.2012.2219046","http://dx.doi.org/10.1109/TSMCC.2012.2219046")</f>
        <v>http://dx.doi.org/10.1109/TSMCC.2012.2219046</v>
      </c>
      <c r="BJ47" s="3" t="s">
        <v>79</v>
      </c>
      <c r="BK47" s="3" t="s">
        <v>79</v>
      </c>
      <c r="BL47" s="3" t="s">
        <v>79</v>
      </c>
      <c r="BM47" s="3" t="s">
        <v>79</v>
      </c>
      <c r="BN47" s="3" t="s">
        <v>79</v>
      </c>
      <c r="BO47" s="3" t="s">
        <v>275</v>
      </c>
      <c r="BP47" s="3" t="s">
        <v>79</v>
      </c>
      <c r="BQ47" s="3" t="s">
        <v>79</v>
      </c>
      <c r="BR47" s="3" t="s">
        <v>79</v>
      </c>
      <c r="BS47" s="3" t="s">
        <v>79</v>
      </c>
      <c r="BT47" s="3" t="s">
        <v>79</v>
      </c>
      <c r="BU47" s="3" t="s">
        <v>95</v>
      </c>
      <c r="BV47" s="3" t="s">
        <v>754</v>
      </c>
      <c r="BW47" s="3" t="str">
        <f>HYPERLINK("https%3A%2F%2Fwww.webofscience.com%2Fwos%2Fwoscc%2Ffull-record%2FWOS:000317645300003","View Full Record in Web of Science")</f>
        <v>View Full Record in Web of Science</v>
      </c>
    </row>
    <row r="48" ht="12.75" customHeight="1">
      <c r="A48" s="5" t="s">
        <v>637</v>
      </c>
      <c r="B48" s="7"/>
      <c r="C48" s="5">
        <v>7.0</v>
      </c>
      <c r="D48" s="3" t="s">
        <v>77</v>
      </c>
      <c r="E48" s="3" t="s">
        <v>755</v>
      </c>
      <c r="F48" s="3" t="s">
        <v>79</v>
      </c>
      <c r="G48" s="3" t="s">
        <v>756</v>
      </c>
      <c r="H48" s="3" t="s">
        <v>79</v>
      </c>
      <c r="I48" s="3" t="s">
        <v>757</v>
      </c>
      <c r="J48" s="3" t="s">
        <v>79</v>
      </c>
      <c r="K48" s="3" t="s">
        <v>79</v>
      </c>
      <c r="L48" s="3" t="s">
        <v>758</v>
      </c>
      <c r="M48" s="3" t="s">
        <v>759</v>
      </c>
      <c r="N48" s="3" t="s">
        <v>79</v>
      </c>
      <c r="O48" s="3" t="s">
        <v>79</v>
      </c>
      <c r="P48" s="3" t="s">
        <v>79</v>
      </c>
      <c r="Q48" s="3" t="s">
        <v>84</v>
      </c>
      <c r="R48" s="3" t="s">
        <v>79</v>
      </c>
      <c r="S48" s="3" t="s">
        <v>79</v>
      </c>
      <c r="T48" s="3" t="s">
        <v>79</v>
      </c>
      <c r="U48" s="3" t="s">
        <v>79</v>
      </c>
      <c r="V48" s="3" t="s">
        <v>79</v>
      </c>
      <c r="W48" s="3" t="s">
        <v>760</v>
      </c>
      <c r="X48" s="3" t="s">
        <v>761</v>
      </c>
      <c r="Y48" s="3" t="s">
        <v>762</v>
      </c>
      <c r="Z48" s="3" t="s">
        <v>763</v>
      </c>
      <c r="AA48" s="3" t="s">
        <v>764</v>
      </c>
      <c r="AB48" s="3" t="s">
        <v>765</v>
      </c>
      <c r="AC48" s="3" t="s">
        <v>766</v>
      </c>
      <c r="AD48" s="3" t="s">
        <v>767</v>
      </c>
      <c r="AE48" s="3" t="s">
        <v>79</v>
      </c>
      <c r="AF48" s="3" t="s">
        <v>79</v>
      </c>
      <c r="AG48" s="3" t="s">
        <v>79</v>
      </c>
      <c r="AH48" s="3" t="s">
        <v>79</v>
      </c>
      <c r="AI48" s="3" t="s">
        <v>79</v>
      </c>
      <c r="AJ48" s="3">
        <v>8.0</v>
      </c>
      <c r="AK48" s="3">
        <v>4.0</v>
      </c>
      <c r="AL48" s="3">
        <v>5.0</v>
      </c>
      <c r="AM48" s="3" t="s">
        <v>79</v>
      </c>
      <c r="AN48" s="3" t="s">
        <v>79</v>
      </c>
      <c r="AO48" s="3" t="s">
        <v>79</v>
      </c>
      <c r="AP48" s="3" t="s">
        <v>79</v>
      </c>
      <c r="AQ48" s="3" t="s">
        <v>79</v>
      </c>
      <c r="AR48" s="3" t="s">
        <v>79</v>
      </c>
      <c r="AS48" s="3" t="s">
        <v>79</v>
      </c>
      <c r="AT48" s="3" t="s">
        <v>79</v>
      </c>
      <c r="AU48" s="3" t="s">
        <v>79</v>
      </c>
      <c r="AV48" s="3" t="s">
        <v>79</v>
      </c>
      <c r="AW48" s="3" t="s">
        <v>79</v>
      </c>
      <c r="AX48" s="3">
        <v>2009.0</v>
      </c>
      <c r="AY48" s="3" t="s">
        <v>79</v>
      </c>
      <c r="AZ48" s="3" t="s">
        <v>79</v>
      </c>
      <c r="BA48" s="3" t="s">
        <v>79</v>
      </c>
      <c r="BB48" s="3" t="s">
        <v>79</v>
      </c>
      <c r="BC48" s="3" t="s">
        <v>79</v>
      </c>
      <c r="BD48" s="3" t="s">
        <v>79</v>
      </c>
      <c r="BE48" s="3">
        <v>56.0</v>
      </c>
      <c r="BF48" s="3">
        <v>59.0</v>
      </c>
      <c r="BG48" s="3" t="s">
        <v>79</v>
      </c>
      <c r="BH48" s="3" t="s">
        <v>768</v>
      </c>
      <c r="BI48" s="8" t="str">
        <f>HYPERLINK("http://dx.doi.org/10.1109/ICCSIT.2009.5234611","http://dx.doi.org/10.1109/ICCSIT.2009.5234611")</f>
        <v>http://dx.doi.org/10.1109/ICCSIT.2009.5234611</v>
      </c>
      <c r="BJ48" s="3" t="s">
        <v>79</v>
      </c>
      <c r="BK48" s="3" t="s">
        <v>79</v>
      </c>
      <c r="BL48" s="3" t="s">
        <v>79</v>
      </c>
      <c r="BM48" s="3" t="s">
        <v>79</v>
      </c>
      <c r="BN48" s="3" t="s">
        <v>79</v>
      </c>
      <c r="BO48" s="3" t="s">
        <v>275</v>
      </c>
      <c r="BP48" s="3" t="s">
        <v>79</v>
      </c>
      <c r="BQ48" s="3" t="s">
        <v>79</v>
      </c>
      <c r="BR48" s="3" t="s">
        <v>79</v>
      </c>
      <c r="BS48" s="3" t="s">
        <v>79</v>
      </c>
      <c r="BT48" s="3" t="s">
        <v>79</v>
      </c>
      <c r="BU48" s="3" t="s">
        <v>95</v>
      </c>
      <c r="BV48" s="3" t="s">
        <v>769</v>
      </c>
      <c r="BW48" s="3" t="str">
        <f>HYPERLINK("https%3A%2F%2Fwww.webofscience.com%2Fwos%2Fwoscc%2Ffull-record%2FWOS:000279849200013","View Full Record in Web of Science")</f>
        <v>View Full Record in Web of Science</v>
      </c>
    </row>
    <row r="49" ht="12.75" customHeight="1">
      <c r="A49" s="5" t="s">
        <v>770</v>
      </c>
      <c r="B49" s="6" t="s">
        <v>771</v>
      </c>
      <c r="C49" s="5" t="s">
        <v>772</v>
      </c>
      <c r="D49" s="3" t="s">
        <v>185</v>
      </c>
      <c r="E49" s="3" t="s">
        <v>773</v>
      </c>
      <c r="F49" s="3" t="s">
        <v>79</v>
      </c>
      <c r="G49" s="3" t="s">
        <v>79</v>
      </c>
      <c r="H49" s="3" t="s">
        <v>79</v>
      </c>
      <c r="I49" s="3" t="s">
        <v>774</v>
      </c>
      <c r="J49" s="3" t="s">
        <v>79</v>
      </c>
      <c r="K49" s="3" t="s">
        <v>79</v>
      </c>
      <c r="L49" s="3" t="s">
        <v>775</v>
      </c>
      <c r="M49" s="3" t="s">
        <v>776</v>
      </c>
      <c r="N49" s="3" t="s">
        <v>79</v>
      </c>
      <c r="O49" s="3" t="s">
        <v>79</v>
      </c>
      <c r="P49" s="3" t="s">
        <v>79</v>
      </c>
      <c r="Q49" s="3" t="s">
        <v>190</v>
      </c>
      <c r="R49" s="3" t="s">
        <v>79</v>
      </c>
      <c r="S49" s="3" t="s">
        <v>79</v>
      </c>
      <c r="T49" s="3" t="s">
        <v>79</v>
      </c>
      <c r="U49" s="3" t="s">
        <v>79</v>
      </c>
      <c r="V49" s="3" t="s">
        <v>79</v>
      </c>
      <c r="W49" s="3" t="s">
        <v>777</v>
      </c>
      <c r="X49" s="3" t="s">
        <v>778</v>
      </c>
      <c r="Y49" s="3" t="s">
        <v>779</v>
      </c>
      <c r="Z49" s="3" t="s">
        <v>780</v>
      </c>
      <c r="AA49" s="3" t="s">
        <v>781</v>
      </c>
      <c r="AB49" s="3" t="s">
        <v>782</v>
      </c>
      <c r="AC49" s="3" t="s">
        <v>783</v>
      </c>
      <c r="AD49" s="3" t="s">
        <v>784</v>
      </c>
      <c r="AE49" s="3" t="s">
        <v>79</v>
      </c>
      <c r="AF49" s="3" t="s">
        <v>79</v>
      </c>
      <c r="AG49" s="3" t="s">
        <v>79</v>
      </c>
      <c r="AH49" s="3" t="s">
        <v>79</v>
      </c>
      <c r="AI49" s="3" t="s">
        <v>79</v>
      </c>
      <c r="AJ49" s="3">
        <v>64.0</v>
      </c>
      <c r="AK49" s="3">
        <v>2.0</v>
      </c>
      <c r="AL49" s="3">
        <v>2.0</v>
      </c>
      <c r="AM49" s="3" t="s">
        <v>79</v>
      </c>
      <c r="AN49" s="3" t="s">
        <v>79</v>
      </c>
      <c r="AO49" s="3" t="s">
        <v>79</v>
      </c>
      <c r="AP49" s="3" t="s">
        <v>79</v>
      </c>
      <c r="AQ49" s="3" t="s">
        <v>79</v>
      </c>
      <c r="AR49" s="3" t="s">
        <v>79</v>
      </c>
      <c r="AS49" s="3" t="s">
        <v>79</v>
      </c>
      <c r="AT49" s="3" t="s">
        <v>79</v>
      </c>
      <c r="AU49" s="3" t="s">
        <v>79</v>
      </c>
      <c r="AV49" s="3" t="s">
        <v>79</v>
      </c>
      <c r="AW49" s="3" t="s">
        <v>785</v>
      </c>
      <c r="AX49" s="3">
        <v>2025.0</v>
      </c>
      <c r="AY49" s="3">
        <v>71.0</v>
      </c>
      <c r="AZ49" s="3">
        <v>1.0</v>
      </c>
      <c r="BA49" s="3" t="s">
        <v>79</v>
      </c>
      <c r="BB49" s="3" t="s">
        <v>79</v>
      </c>
      <c r="BC49" s="3" t="s">
        <v>79</v>
      </c>
      <c r="BD49" s="3" t="s">
        <v>79</v>
      </c>
      <c r="BE49" s="3">
        <v>1219.0</v>
      </c>
      <c r="BF49" s="3">
        <v>1234.0</v>
      </c>
      <c r="BG49" s="3" t="s">
        <v>79</v>
      </c>
      <c r="BH49" s="3" t="s">
        <v>786</v>
      </c>
      <c r="BI49" s="8" t="str">
        <f>HYPERLINK("http://dx.doi.org/10.1109/TCE.2025.3540970","http://dx.doi.org/10.1109/TCE.2025.3540970")</f>
        <v>http://dx.doi.org/10.1109/TCE.2025.3540970</v>
      </c>
      <c r="BJ49" s="3" t="s">
        <v>79</v>
      </c>
      <c r="BK49" s="3" t="s">
        <v>79</v>
      </c>
      <c r="BL49" s="3" t="s">
        <v>79</v>
      </c>
      <c r="BM49" s="3" t="s">
        <v>79</v>
      </c>
      <c r="BN49" s="3" t="s">
        <v>79</v>
      </c>
      <c r="BO49" s="3" t="s">
        <v>787</v>
      </c>
      <c r="BP49" s="3" t="s">
        <v>79</v>
      </c>
      <c r="BQ49" s="3" t="s">
        <v>79</v>
      </c>
      <c r="BR49" s="3" t="s">
        <v>79</v>
      </c>
      <c r="BS49" s="3" t="s">
        <v>79</v>
      </c>
      <c r="BT49" s="3" t="s">
        <v>79</v>
      </c>
      <c r="BU49" s="3" t="s">
        <v>95</v>
      </c>
      <c r="BV49" s="3" t="s">
        <v>788</v>
      </c>
      <c r="BW49" s="3" t="str">
        <f>HYPERLINK("https%3A%2F%2Fwww.webofscience.com%2Fwos%2Fwoscc%2Ffull-record%2FWOS:001511609900034","View Full Record in Web of Science")</f>
        <v>View Full Record in Web of Science</v>
      </c>
    </row>
    <row r="50" ht="12.75" customHeight="1">
      <c r="A50" s="5" t="s">
        <v>770</v>
      </c>
      <c r="B50" s="10"/>
      <c r="C50" s="5">
        <v>9.0</v>
      </c>
      <c r="D50" s="3" t="s">
        <v>77</v>
      </c>
      <c r="E50" s="3" t="s">
        <v>789</v>
      </c>
      <c r="F50" s="3" t="s">
        <v>79</v>
      </c>
      <c r="G50" s="3" t="s">
        <v>790</v>
      </c>
      <c r="H50" s="3" t="s">
        <v>79</v>
      </c>
      <c r="I50" s="3" t="s">
        <v>791</v>
      </c>
      <c r="J50" s="3" t="s">
        <v>79</v>
      </c>
      <c r="K50" s="3" t="s">
        <v>79</v>
      </c>
      <c r="L50" s="3" t="s">
        <v>792</v>
      </c>
      <c r="M50" s="3" t="s">
        <v>793</v>
      </c>
      <c r="N50" s="3" t="s">
        <v>730</v>
      </c>
      <c r="O50" s="3" t="s">
        <v>79</v>
      </c>
      <c r="P50" s="3" t="s">
        <v>79</v>
      </c>
      <c r="Q50" s="3" t="s">
        <v>84</v>
      </c>
      <c r="R50" s="3" t="s">
        <v>79</v>
      </c>
      <c r="S50" s="3" t="s">
        <v>79</v>
      </c>
      <c r="T50" s="3" t="s">
        <v>79</v>
      </c>
      <c r="U50" s="3" t="s">
        <v>79</v>
      </c>
      <c r="V50" s="3" t="s">
        <v>79</v>
      </c>
      <c r="W50" s="3" t="s">
        <v>794</v>
      </c>
      <c r="X50" s="3" t="s">
        <v>795</v>
      </c>
      <c r="Y50" s="3" t="s">
        <v>796</v>
      </c>
      <c r="Z50" s="3" t="s">
        <v>797</v>
      </c>
      <c r="AA50" s="3" t="s">
        <v>798</v>
      </c>
      <c r="AB50" s="3" t="s">
        <v>799</v>
      </c>
      <c r="AC50" s="3" t="s">
        <v>800</v>
      </c>
      <c r="AD50" s="3" t="s">
        <v>801</v>
      </c>
      <c r="AE50" s="3" t="s">
        <v>79</v>
      </c>
      <c r="AF50" s="3" t="s">
        <v>79</v>
      </c>
      <c r="AG50" s="3" t="s">
        <v>79</v>
      </c>
      <c r="AH50" s="3" t="s">
        <v>79</v>
      </c>
      <c r="AI50" s="3" t="s">
        <v>79</v>
      </c>
      <c r="AJ50" s="3">
        <v>36.0</v>
      </c>
      <c r="AK50" s="3">
        <v>0.0</v>
      </c>
      <c r="AL50" s="3">
        <v>0.0</v>
      </c>
      <c r="AM50" s="3" t="s">
        <v>79</v>
      </c>
      <c r="AN50" s="3" t="s">
        <v>79</v>
      </c>
      <c r="AO50" s="3" t="s">
        <v>79</v>
      </c>
      <c r="AP50" s="3" t="s">
        <v>79</v>
      </c>
      <c r="AQ50" s="3" t="s">
        <v>79</v>
      </c>
      <c r="AR50" s="3" t="s">
        <v>79</v>
      </c>
      <c r="AS50" s="3" t="s">
        <v>79</v>
      </c>
      <c r="AT50" s="3" t="s">
        <v>79</v>
      </c>
      <c r="AU50" s="3" t="s">
        <v>79</v>
      </c>
      <c r="AV50" s="3" t="s">
        <v>79</v>
      </c>
      <c r="AW50" s="3" t="s">
        <v>79</v>
      </c>
      <c r="AX50" s="3">
        <v>2022.0</v>
      </c>
      <c r="AY50" s="3">
        <v>1604.0</v>
      </c>
      <c r="AZ50" s="3" t="s">
        <v>79</v>
      </c>
      <c r="BA50" s="3" t="s">
        <v>79</v>
      </c>
      <c r="BB50" s="3" t="s">
        <v>79</v>
      </c>
      <c r="BC50" s="3" t="s">
        <v>79</v>
      </c>
      <c r="BD50" s="3" t="s">
        <v>79</v>
      </c>
      <c r="BE50" s="3">
        <v>128.0</v>
      </c>
      <c r="BF50" s="3">
        <v>140.0</v>
      </c>
      <c r="BG50" s="3" t="s">
        <v>79</v>
      </c>
      <c r="BH50" s="3" t="s">
        <v>802</v>
      </c>
      <c r="BI50" s="8" t="str">
        <f>HYPERLINK("http://dx.doi.org/10.1007/978-3-031-10551-7_10","http://dx.doi.org/10.1007/978-3-031-10551-7_10")</f>
        <v>http://dx.doi.org/10.1007/978-3-031-10551-7_10</v>
      </c>
      <c r="BJ50" s="3" t="s">
        <v>79</v>
      </c>
      <c r="BK50" s="3" t="s">
        <v>79</v>
      </c>
      <c r="BL50" s="3" t="s">
        <v>79</v>
      </c>
      <c r="BM50" s="3" t="s">
        <v>79</v>
      </c>
      <c r="BN50" s="3" t="s">
        <v>79</v>
      </c>
      <c r="BO50" s="3" t="s">
        <v>275</v>
      </c>
      <c r="BP50" s="3" t="s">
        <v>79</v>
      </c>
      <c r="BQ50" s="3" t="s">
        <v>79</v>
      </c>
      <c r="BR50" s="3" t="s">
        <v>79</v>
      </c>
      <c r="BS50" s="3" t="s">
        <v>79</v>
      </c>
      <c r="BT50" s="3" t="s">
        <v>79</v>
      </c>
      <c r="BU50" s="3" t="s">
        <v>95</v>
      </c>
      <c r="BV50" s="3" t="s">
        <v>803</v>
      </c>
      <c r="BW50" s="3" t="str">
        <f>HYPERLINK("https%3A%2F%2Fwww.webofscience.com%2Fwos%2Fwoscc%2Ffull-record%2FWOS:000895670500010","View Full Record in Web of Science")</f>
        <v>View Full Record in Web of Science</v>
      </c>
    </row>
    <row r="51" ht="12.75" customHeight="1">
      <c r="A51" s="5" t="s">
        <v>770</v>
      </c>
      <c r="B51" s="10"/>
      <c r="C51" s="5">
        <v>9.0</v>
      </c>
      <c r="D51" s="3" t="s">
        <v>185</v>
      </c>
      <c r="E51" s="3" t="s">
        <v>804</v>
      </c>
      <c r="F51" s="3" t="s">
        <v>79</v>
      </c>
      <c r="G51" s="3" t="s">
        <v>79</v>
      </c>
      <c r="H51" s="3" t="s">
        <v>79</v>
      </c>
      <c r="I51" s="3" t="s">
        <v>805</v>
      </c>
      <c r="J51" s="3" t="s">
        <v>79</v>
      </c>
      <c r="K51" s="3" t="s">
        <v>79</v>
      </c>
      <c r="L51" s="3" t="s">
        <v>806</v>
      </c>
      <c r="M51" s="3" t="s">
        <v>807</v>
      </c>
      <c r="N51" s="3" t="s">
        <v>79</v>
      </c>
      <c r="O51" s="3" t="s">
        <v>79</v>
      </c>
      <c r="P51" s="3" t="s">
        <v>79</v>
      </c>
      <c r="Q51" s="3" t="s">
        <v>190</v>
      </c>
      <c r="R51" s="3" t="s">
        <v>79</v>
      </c>
      <c r="S51" s="3" t="s">
        <v>79</v>
      </c>
      <c r="T51" s="3" t="s">
        <v>79</v>
      </c>
      <c r="U51" s="3" t="s">
        <v>79</v>
      </c>
      <c r="V51" s="3" t="s">
        <v>79</v>
      </c>
      <c r="W51" s="3" t="s">
        <v>808</v>
      </c>
      <c r="X51" s="3" t="s">
        <v>809</v>
      </c>
      <c r="Y51" s="3" t="s">
        <v>810</v>
      </c>
      <c r="Z51" s="3" t="s">
        <v>811</v>
      </c>
      <c r="AA51" s="3" t="s">
        <v>812</v>
      </c>
      <c r="AB51" s="3" t="s">
        <v>813</v>
      </c>
      <c r="AC51" s="3" t="s">
        <v>814</v>
      </c>
      <c r="AD51" s="3" t="s">
        <v>815</v>
      </c>
      <c r="AE51" s="3" t="s">
        <v>79</v>
      </c>
      <c r="AF51" s="3" t="s">
        <v>79</v>
      </c>
      <c r="AG51" s="3" t="s">
        <v>79</v>
      </c>
      <c r="AH51" s="3" t="s">
        <v>79</v>
      </c>
      <c r="AI51" s="3" t="s">
        <v>79</v>
      </c>
      <c r="AJ51" s="3">
        <v>44.0</v>
      </c>
      <c r="AK51" s="3">
        <v>1.0</v>
      </c>
      <c r="AL51" s="3">
        <v>1.0</v>
      </c>
      <c r="AM51" s="3" t="s">
        <v>79</v>
      </c>
      <c r="AN51" s="3" t="s">
        <v>79</v>
      </c>
      <c r="AO51" s="3" t="s">
        <v>79</v>
      </c>
      <c r="AP51" s="3" t="s">
        <v>79</v>
      </c>
      <c r="AQ51" s="3" t="s">
        <v>79</v>
      </c>
      <c r="AR51" s="3" t="s">
        <v>79</v>
      </c>
      <c r="AS51" s="3" t="s">
        <v>79</v>
      </c>
      <c r="AT51" s="3" t="s">
        <v>79</v>
      </c>
      <c r="AU51" s="3" t="s">
        <v>79</v>
      </c>
      <c r="AV51" s="3" t="s">
        <v>79</v>
      </c>
      <c r="AW51" s="3" t="s">
        <v>816</v>
      </c>
      <c r="AX51" s="3">
        <v>2025.0</v>
      </c>
      <c r="AY51" s="3">
        <v>15.0</v>
      </c>
      <c r="AZ51" s="3">
        <v>1.0</v>
      </c>
      <c r="BA51" s="3" t="s">
        <v>79</v>
      </c>
      <c r="BB51" s="3" t="s">
        <v>79</v>
      </c>
      <c r="BC51" s="3" t="s">
        <v>79</v>
      </c>
      <c r="BD51" s="3" t="s">
        <v>79</v>
      </c>
      <c r="BE51" s="3" t="s">
        <v>79</v>
      </c>
      <c r="BF51" s="3" t="s">
        <v>79</v>
      </c>
      <c r="BG51" s="3">
        <v>21202.0</v>
      </c>
      <c r="BH51" s="3" t="s">
        <v>817</v>
      </c>
      <c r="BI51" s="8" t="str">
        <f>HYPERLINK("http://dx.doi.org/10.1038/s41598-025-05423-0","http://dx.doi.org/10.1038/s41598-025-05423-0")</f>
        <v>http://dx.doi.org/10.1038/s41598-025-05423-0</v>
      </c>
      <c r="BJ51" s="3" t="s">
        <v>79</v>
      </c>
      <c r="BK51" s="3" t="s">
        <v>79</v>
      </c>
      <c r="BL51" s="3" t="s">
        <v>79</v>
      </c>
      <c r="BM51" s="3" t="s">
        <v>79</v>
      </c>
      <c r="BN51" s="3" t="s">
        <v>79</v>
      </c>
      <c r="BO51" s="3" t="s">
        <v>606</v>
      </c>
      <c r="BP51" s="3" t="s">
        <v>79</v>
      </c>
      <c r="BQ51" s="3" t="s">
        <v>79</v>
      </c>
      <c r="BR51" s="3" t="s">
        <v>79</v>
      </c>
      <c r="BS51" s="3" t="s">
        <v>79</v>
      </c>
      <c r="BT51" s="3" t="s">
        <v>79</v>
      </c>
      <c r="BU51" s="3" t="s">
        <v>95</v>
      </c>
      <c r="BV51" s="3" t="s">
        <v>818</v>
      </c>
      <c r="BW51" s="3" t="str">
        <f>HYPERLINK("https%3A%2F%2Fwww.webofscience.com%2Fwos%2Fwoscc%2Ffull-record%2FWOS:001523017700029","View Full Record in Web of Science")</f>
        <v>View Full Record in Web of Science</v>
      </c>
    </row>
    <row r="52" ht="12.75" customHeight="1">
      <c r="A52" s="5" t="s">
        <v>770</v>
      </c>
      <c r="B52" s="10"/>
      <c r="C52" s="5">
        <v>8.0</v>
      </c>
      <c r="D52" s="3" t="s">
        <v>185</v>
      </c>
      <c r="E52" s="3" t="s">
        <v>819</v>
      </c>
      <c r="F52" s="3" t="s">
        <v>79</v>
      </c>
      <c r="G52" s="3" t="s">
        <v>79</v>
      </c>
      <c r="H52" s="3" t="s">
        <v>79</v>
      </c>
      <c r="I52" s="3" t="s">
        <v>820</v>
      </c>
      <c r="J52" s="3" t="s">
        <v>79</v>
      </c>
      <c r="K52" s="3" t="s">
        <v>79</v>
      </c>
      <c r="L52" s="3" t="s">
        <v>821</v>
      </c>
      <c r="M52" s="3" t="s">
        <v>822</v>
      </c>
      <c r="N52" s="3" t="s">
        <v>79</v>
      </c>
      <c r="O52" s="3" t="s">
        <v>79</v>
      </c>
      <c r="P52" s="3" t="s">
        <v>79</v>
      </c>
      <c r="Q52" s="3" t="s">
        <v>190</v>
      </c>
      <c r="R52" s="3" t="s">
        <v>79</v>
      </c>
      <c r="S52" s="3" t="s">
        <v>79</v>
      </c>
      <c r="T52" s="3" t="s">
        <v>79</v>
      </c>
      <c r="U52" s="3" t="s">
        <v>79</v>
      </c>
      <c r="V52" s="3" t="s">
        <v>79</v>
      </c>
      <c r="W52" s="3" t="s">
        <v>823</v>
      </c>
      <c r="X52" s="3" t="s">
        <v>824</v>
      </c>
      <c r="Y52" s="3" t="s">
        <v>825</v>
      </c>
      <c r="Z52" s="3" t="s">
        <v>826</v>
      </c>
      <c r="AA52" s="3" t="s">
        <v>827</v>
      </c>
      <c r="AB52" s="3" t="s">
        <v>828</v>
      </c>
      <c r="AC52" s="3" t="s">
        <v>829</v>
      </c>
      <c r="AD52" s="3" t="s">
        <v>79</v>
      </c>
      <c r="AE52" s="3" t="s">
        <v>79</v>
      </c>
      <c r="AF52" s="3" t="s">
        <v>79</v>
      </c>
      <c r="AG52" s="3" t="s">
        <v>79</v>
      </c>
      <c r="AH52" s="3" t="s">
        <v>79</v>
      </c>
      <c r="AI52" s="3" t="s">
        <v>79</v>
      </c>
      <c r="AJ52" s="3">
        <v>38.0</v>
      </c>
      <c r="AK52" s="3">
        <v>3.0</v>
      </c>
      <c r="AL52" s="3">
        <v>4.0</v>
      </c>
      <c r="AM52" s="3" t="s">
        <v>79</v>
      </c>
      <c r="AN52" s="3" t="s">
        <v>79</v>
      </c>
      <c r="AO52" s="3" t="s">
        <v>79</v>
      </c>
      <c r="AP52" s="3" t="s">
        <v>79</v>
      </c>
      <c r="AQ52" s="3" t="s">
        <v>79</v>
      </c>
      <c r="AR52" s="3" t="s">
        <v>79</v>
      </c>
      <c r="AS52" s="3" t="s">
        <v>79</v>
      </c>
      <c r="AT52" s="3" t="s">
        <v>79</v>
      </c>
      <c r="AU52" s="3" t="s">
        <v>79</v>
      </c>
      <c r="AV52" s="3" t="s">
        <v>79</v>
      </c>
      <c r="AW52" s="3" t="s">
        <v>830</v>
      </c>
      <c r="AX52" s="3">
        <v>2022.0</v>
      </c>
      <c r="AY52" s="3">
        <v>19.0</v>
      </c>
      <c r="AZ52" s="3">
        <v>5.0</v>
      </c>
      <c r="BA52" s="3" t="s">
        <v>79</v>
      </c>
      <c r="BB52" s="3" t="s">
        <v>79</v>
      </c>
      <c r="BC52" s="3" t="s">
        <v>79</v>
      </c>
      <c r="BD52" s="3" t="s">
        <v>79</v>
      </c>
      <c r="BE52" s="3" t="s">
        <v>79</v>
      </c>
      <c r="BF52" s="3" t="s">
        <v>79</v>
      </c>
      <c r="BG52" s="3">
        <v>56004.0</v>
      </c>
      <c r="BH52" s="3" t="s">
        <v>831</v>
      </c>
      <c r="BI52" s="8" t="str">
        <f>HYPERLINK("http://dx.doi.org/10.1088/1741-2552/ac8501","http://dx.doi.org/10.1088/1741-2552/ac8501")</f>
        <v>http://dx.doi.org/10.1088/1741-2552/ac8501</v>
      </c>
      <c r="BJ52" s="3" t="s">
        <v>79</v>
      </c>
      <c r="BK52" s="3" t="s">
        <v>79</v>
      </c>
      <c r="BL52" s="3" t="s">
        <v>79</v>
      </c>
      <c r="BM52" s="3" t="s">
        <v>79</v>
      </c>
      <c r="BN52" s="3" t="s">
        <v>79</v>
      </c>
      <c r="BO52" s="3" t="s">
        <v>559</v>
      </c>
      <c r="BP52" s="3" t="s">
        <v>79</v>
      </c>
      <c r="BQ52" s="3" t="s">
        <v>79</v>
      </c>
      <c r="BR52" s="3" t="s">
        <v>79</v>
      </c>
      <c r="BS52" s="3" t="s">
        <v>79</v>
      </c>
      <c r="BT52" s="3" t="s">
        <v>79</v>
      </c>
      <c r="BU52" s="3" t="s">
        <v>95</v>
      </c>
      <c r="BV52" s="3" t="s">
        <v>832</v>
      </c>
      <c r="BW52" s="3" t="str">
        <f>HYPERLINK("https%3A%2F%2Fwww.webofscience.com%2Fwos%2Fwoscc%2Ffull-record%2FWOS:000850358200001","View Full Record in Web of Science")</f>
        <v>View Full Record in Web of Science</v>
      </c>
    </row>
    <row r="53" ht="12.75" customHeight="1">
      <c r="A53" s="5" t="s">
        <v>770</v>
      </c>
      <c r="B53" s="10"/>
      <c r="C53" s="5">
        <v>7.0</v>
      </c>
      <c r="D53" s="3" t="s">
        <v>77</v>
      </c>
      <c r="E53" s="3" t="s">
        <v>833</v>
      </c>
      <c r="F53" s="3" t="s">
        <v>79</v>
      </c>
      <c r="G53" s="3" t="s">
        <v>834</v>
      </c>
      <c r="H53" s="3" t="s">
        <v>79</v>
      </c>
      <c r="I53" s="3" t="s">
        <v>835</v>
      </c>
      <c r="J53" s="3" t="s">
        <v>79</v>
      </c>
      <c r="K53" s="3" t="s">
        <v>79</v>
      </c>
      <c r="L53" s="3" t="s">
        <v>836</v>
      </c>
      <c r="M53" s="3" t="s">
        <v>837</v>
      </c>
      <c r="N53" s="3" t="s">
        <v>838</v>
      </c>
      <c r="O53" s="3" t="s">
        <v>79</v>
      </c>
      <c r="P53" s="3" t="s">
        <v>79</v>
      </c>
      <c r="Q53" s="3" t="s">
        <v>84</v>
      </c>
      <c r="R53" s="3" t="s">
        <v>79</v>
      </c>
      <c r="S53" s="3" t="s">
        <v>79</v>
      </c>
      <c r="T53" s="3" t="s">
        <v>79</v>
      </c>
      <c r="U53" s="3" t="s">
        <v>79</v>
      </c>
      <c r="V53" s="3" t="s">
        <v>79</v>
      </c>
      <c r="W53" s="3" t="s">
        <v>839</v>
      </c>
      <c r="X53" s="3" t="s">
        <v>79</v>
      </c>
      <c r="Y53" s="3" t="s">
        <v>840</v>
      </c>
      <c r="Z53" s="3" t="s">
        <v>841</v>
      </c>
      <c r="AA53" s="3" t="s">
        <v>842</v>
      </c>
      <c r="AB53" s="3" t="s">
        <v>843</v>
      </c>
      <c r="AC53" s="3" t="s">
        <v>844</v>
      </c>
      <c r="AD53" s="3" t="s">
        <v>845</v>
      </c>
      <c r="AE53" s="3" t="s">
        <v>846</v>
      </c>
      <c r="AF53" s="3" t="s">
        <v>79</v>
      </c>
      <c r="AG53" s="3" t="s">
        <v>79</v>
      </c>
      <c r="AH53" s="3" t="s">
        <v>79</v>
      </c>
      <c r="AI53" s="3" t="s">
        <v>79</v>
      </c>
      <c r="AJ53" s="3">
        <v>16.0</v>
      </c>
      <c r="AK53" s="3">
        <v>0.0</v>
      </c>
      <c r="AL53" s="3">
        <v>0.0</v>
      </c>
      <c r="AM53" s="3" t="s">
        <v>79</v>
      </c>
      <c r="AN53" s="3" t="s">
        <v>79</v>
      </c>
      <c r="AO53" s="3" t="s">
        <v>79</v>
      </c>
      <c r="AP53" s="3" t="s">
        <v>79</v>
      </c>
      <c r="AQ53" s="3" t="s">
        <v>79</v>
      </c>
      <c r="AR53" s="3" t="s">
        <v>79</v>
      </c>
      <c r="AS53" s="3" t="s">
        <v>79</v>
      </c>
      <c r="AT53" s="3" t="s">
        <v>79</v>
      </c>
      <c r="AU53" s="3" t="s">
        <v>79</v>
      </c>
      <c r="AV53" s="3" t="s">
        <v>79</v>
      </c>
      <c r="AW53" s="3" t="s">
        <v>79</v>
      </c>
      <c r="AX53" s="3">
        <v>2016.0</v>
      </c>
      <c r="AY53" s="3">
        <v>419.0</v>
      </c>
      <c r="AZ53" s="3" t="s">
        <v>79</v>
      </c>
      <c r="BA53" s="3" t="s">
        <v>79</v>
      </c>
      <c r="BB53" s="3" t="s">
        <v>79</v>
      </c>
      <c r="BC53" s="3" t="s">
        <v>79</v>
      </c>
      <c r="BD53" s="3" t="s">
        <v>79</v>
      </c>
      <c r="BE53" s="3">
        <v>105.0</v>
      </c>
      <c r="BF53" s="3">
        <v>116.0</v>
      </c>
      <c r="BG53" s="3" t="s">
        <v>79</v>
      </c>
      <c r="BH53" s="3" t="s">
        <v>847</v>
      </c>
      <c r="BI53" s="8" t="str">
        <f>HYPERLINK("http://dx.doi.org/10.1007/978-3-319-27400-3_10","http://dx.doi.org/10.1007/978-3-319-27400-3_10")</f>
        <v>http://dx.doi.org/10.1007/978-3-319-27400-3_10</v>
      </c>
      <c r="BJ53" s="3" t="s">
        <v>79</v>
      </c>
      <c r="BK53" s="3" t="s">
        <v>79</v>
      </c>
      <c r="BL53" s="3" t="s">
        <v>79</v>
      </c>
      <c r="BM53" s="3" t="s">
        <v>79</v>
      </c>
      <c r="BN53" s="3" t="s">
        <v>79</v>
      </c>
      <c r="BO53" s="3" t="s">
        <v>275</v>
      </c>
      <c r="BP53" s="3" t="s">
        <v>79</v>
      </c>
      <c r="BQ53" s="3" t="s">
        <v>79</v>
      </c>
      <c r="BR53" s="3" t="s">
        <v>79</v>
      </c>
      <c r="BS53" s="3" t="s">
        <v>79</v>
      </c>
      <c r="BT53" s="3" t="s">
        <v>79</v>
      </c>
      <c r="BU53" s="3" t="s">
        <v>95</v>
      </c>
      <c r="BV53" s="3" t="s">
        <v>848</v>
      </c>
      <c r="BW53" s="3" t="str">
        <f>HYPERLINK("https%3A%2F%2Fwww.webofscience.com%2Fwos%2Fwoscc%2Ffull-record%2FWOS:000381882900010","View Full Record in Web of Science")</f>
        <v>View Full Record in Web of Science</v>
      </c>
    </row>
    <row r="54" ht="12.75" customHeight="1">
      <c r="A54" s="5" t="s">
        <v>770</v>
      </c>
      <c r="B54" s="10"/>
      <c r="C54" s="5">
        <v>9.0</v>
      </c>
      <c r="D54" s="3" t="s">
        <v>77</v>
      </c>
      <c r="E54" s="3" t="s">
        <v>849</v>
      </c>
      <c r="F54" s="3" t="s">
        <v>79</v>
      </c>
      <c r="G54" s="3" t="s">
        <v>850</v>
      </c>
      <c r="H54" s="3" t="s">
        <v>79</v>
      </c>
      <c r="I54" s="3" t="s">
        <v>851</v>
      </c>
      <c r="J54" s="3" t="s">
        <v>79</v>
      </c>
      <c r="K54" s="3" t="s">
        <v>79</v>
      </c>
      <c r="L54" s="3" t="s">
        <v>852</v>
      </c>
      <c r="M54" s="3" t="s">
        <v>853</v>
      </c>
      <c r="N54" s="3" t="s">
        <v>854</v>
      </c>
      <c r="O54" s="3" t="s">
        <v>79</v>
      </c>
      <c r="P54" s="3" t="s">
        <v>79</v>
      </c>
      <c r="Q54" s="3" t="s">
        <v>84</v>
      </c>
      <c r="R54" s="3" t="s">
        <v>79</v>
      </c>
      <c r="S54" s="3" t="s">
        <v>79</v>
      </c>
      <c r="T54" s="3" t="s">
        <v>79</v>
      </c>
      <c r="U54" s="3" t="s">
        <v>79</v>
      </c>
      <c r="V54" s="3" t="s">
        <v>79</v>
      </c>
      <c r="W54" s="3" t="s">
        <v>855</v>
      </c>
      <c r="X54" s="3" t="s">
        <v>856</v>
      </c>
      <c r="Y54" s="3" t="s">
        <v>857</v>
      </c>
      <c r="Z54" s="3" t="s">
        <v>858</v>
      </c>
      <c r="AA54" s="3" t="s">
        <v>859</v>
      </c>
      <c r="AB54" s="3" t="s">
        <v>860</v>
      </c>
      <c r="AC54" s="3" t="s">
        <v>861</v>
      </c>
      <c r="AD54" s="3" t="s">
        <v>862</v>
      </c>
      <c r="AE54" s="3" t="s">
        <v>863</v>
      </c>
      <c r="AF54" s="3" t="s">
        <v>79</v>
      </c>
      <c r="AG54" s="3" t="s">
        <v>79</v>
      </c>
      <c r="AH54" s="3" t="s">
        <v>79</v>
      </c>
      <c r="AI54" s="3" t="s">
        <v>79</v>
      </c>
      <c r="AJ54" s="3">
        <v>9.0</v>
      </c>
      <c r="AK54" s="3">
        <v>35.0</v>
      </c>
      <c r="AL54" s="3">
        <v>37.0</v>
      </c>
      <c r="AM54" s="3" t="s">
        <v>79</v>
      </c>
      <c r="AN54" s="3" t="s">
        <v>79</v>
      </c>
      <c r="AO54" s="3" t="s">
        <v>79</v>
      </c>
      <c r="AP54" s="3" t="s">
        <v>79</v>
      </c>
      <c r="AQ54" s="3" t="s">
        <v>79</v>
      </c>
      <c r="AR54" s="3" t="s">
        <v>79</v>
      </c>
      <c r="AS54" s="3" t="s">
        <v>79</v>
      </c>
      <c r="AT54" s="3" t="s">
        <v>79</v>
      </c>
      <c r="AU54" s="3" t="s">
        <v>79</v>
      </c>
      <c r="AV54" s="3" t="s">
        <v>79</v>
      </c>
      <c r="AW54" s="3" t="s">
        <v>79</v>
      </c>
      <c r="AX54" s="3">
        <v>2016.0</v>
      </c>
      <c r="AY54" s="3">
        <v>84.0</v>
      </c>
      <c r="AZ54" s="3" t="s">
        <v>79</v>
      </c>
      <c r="BA54" s="3" t="s">
        <v>79</v>
      </c>
      <c r="BB54" s="3" t="s">
        <v>79</v>
      </c>
      <c r="BC54" s="3" t="s">
        <v>79</v>
      </c>
      <c r="BD54" s="3" t="s">
        <v>79</v>
      </c>
      <c r="BE54" s="3">
        <v>147.0</v>
      </c>
      <c r="BF54" s="3">
        <v>151.0</v>
      </c>
      <c r="BG54" s="3" t="s">
        <v>79</v>
      </c>
      <c r="BH54" s="3" t="s">
        <v>864</v>
      </c>
      <c r="BI54" s="8" t="str">
        <f>HYPERLINK("http://dx.doi.org/10.1016/j.procs.2016.04.080","http://dx.doi.org/10.1016/j.procs.2016.04.080")</f>
        <v>http://dx.doi.org/10.1016/j.procs.2016.04.080</v>
      </c>
      <c r="BJ54" s="3" t="s">
        <v>79</v>
      </c>
      <c r="BK54" s="3" t="s">
        <v>79</v>
      </c>
      <c r="BL54" s="3" t="s">
        <v>79</v>
      </c>
      <c r="BM54" s="3" t="s">
        <v>79</v>
      </c>
      <c r="BN54" s="3" t="s">
        <v>79</v>
      </c>
      <c r="BO54" s="3" t="s">
        <v>275</v>
      </c>
      <c r="BP54" s="3" t="s">
        <v>79</v>
      </c>
      <c r="BQ54" s="3" t="s">
        <v>79</v>
      </c>
      <c r="BR54" s="3" t="s">
        <v>79</v>
      </c>
      <c r="BS54" s="3" t="s">
        <v>79</v>
      </c>
      <c r="BT54" s="3" t="s">
        <v>79</v>
      </c>
      <c r="BU54" s="3" t="s">
        <v>95</v>
      </c>
      <c r="BV54" s="3" t="s">
        <v>865</v>
      </c>
      <c r="BW54" s="3" t="str">
        <f>HYPERLINK("https%3A%2F%2Fwww.webofscience.com%2Fwos%2Fwoscc%2Ffull-record%2FWOS:000386597400022","View Full Record in Web of Science")</f>
        <v>View Full Record in Web of Science</v>
      </c>
    </row>
    <row r="55" ht="12.75" customHeight="1">
      <c r="A55" s="5" t="s">
        <v>770</v>
      </c>
      <c r="B55" s="10"/>
      <c r="C55" s="5">
        <v>8.0</v>
      </c>
      <c r="D55" s="3" t="s">
        <v>185</v>
      </c>
      <c r="E55" s="3" t="s">
        <v>866</v>
      </c>
      <c r="F55" s="3" t="s">
        <v>79</v>
      </c>
      <c r="G55" s="3" t="s">
        <v>79</v>
      </c>
      <c r="H55" s="3" t="s">
        <v>79</v>
      </c>
      <c r="I55" s="3" t="s">
        <v>867</v>
      </c>
      <c r="J55" s="3" t="s">
        <v>79</v>
      </c>
      <c r="K55" s="3" t="s">
        <v>79</v>
      </c>
      <c r="L55" s="3" t="s">
        <v>868</v>
      </c>
      <c r="M55" s="3" t="s">
        <v>869</v>
      </c>
      <c r="N55" s="3" t="s">
        <v>79</v>
      </c>
      <c r="O55" s="3" t="s">
        <v>79</v>
      </c>
      <c r="P55" s="3" t="s">
        <v>79</v>
      </c>
      <c r="Q55" s="3" t="s">
        <v>190</v>
      </c>
      <c r="R55" s="3" t="s">
        <v>79</v>
      </c>
      <c r="S55" s="3" t="s">
        <v>79</v>
      </c>
      <c r="T55" s="3" t="s">
        <v>79</v>
      </c>
      <c r="U55" s="3" t="s">
        <v>79</v>
      </c>
      <c r="V55" s="3" t="s">
        <v>79</v>
      </c>
      <c r="W55" s="3" t="s">
        <v>870</v>
      </c>
      <c r="X55" s="3" t="s">
        <v>871</v>
      </c>
      <c r="Y55" s="3" t="s">
        <v>872</v>
      </c>
      <c r="Z55" s="3" t="s">
        <v>873</v>
      </c>
      <c r="AA55" s="3" t="s">
        <v>874</v>
      </c>
      <c r="AB55" s="3" t="s">
        <v>875</v>
      </c>
      <c r="AC55" s="3" t="s">
        <v>876</v>
      </c>
      <c r="AD55" s="3" t="s">
        <v>79</v>
      </c>
      <c r="AE55" s="3" t="s">
        <v>79</v>
      </c>
      <c r="AF55" s="3" t="s">
        <v>79</v>
      </c>
      <c r="AG55" s="3" t="s">
        <v>79</v>
      </c>
      <c r="AH55" s="3" t="s">
        <v>79</v>
      </c>
      <c r="AI55" s="3" t="s">
        <v>79</v>
      </c>
      <c r="AJ55" s="3">
        <v>19.0</v>
      </c>
      <c r="AK55" s="3">
        <v>12.0</v>
      </c>
      <c r="AL55" s="3">
        <v>14.0</v>
      </c>
      <c r="AM55" s="3" t="s">
        <v>79</v>
      </c>
      <c r="AN55" s="3" t="s">
        <v>79</v>
      </c>
      <c r="AO55" s="3" t="s">
        <v>79</v>
      </c>
      <c r="AP55" s="3" t="s">
        <v>79</v>
      </c>
      <c r="AQ55" s="3" t="s">
        <v>79</v>
      </c>
      <c r="AR55" s="3" t="s">
        <v>79</v>
      </c>
      <c r="AS55" s="3" t="s">
        <v>79</v>
      </c>
      <c r="AT55" s="3" t="s">
        <v>79</v>
      </c>
      <c r="AU55" s="3" t="s">
        <v>79</v>
      </c>
      <c r="AV55" s="3" t="s">
        <v>79</v>
      </c>
      <c r="AW55" s="3" t="s">
        <v>482</v>
      </c>
      <c r="AX55" s="3">
        <v>2013.0</v>
      </c>
      <c r="AY55" s="3">
        <v>23.0</v>
      </c>
      <c r="AZ55" s="3" t="s">
        <v>877</v>
      </c>
      <c r="BA55" s="3" t="s">
        <v>79</v>
      </c>
      <c r="BB55" s="3" t="s">
        <v>79</v>
      </c>
      <c r="BC55" s="3" t="s">
        <v>79</v>
      </c>
      <c r="BD55" s="3" t="s">
        <v>79</v>
      </c>
      <c r="BE55" s="3">
        <v>1931.0</v>
      </c>
      <c r="BF55" s="3">
        <v>1936.0</v>
      </c>
      <c r="BG55" s="3" t="s">
        <v>79</v>
      </c>
      <c r="BH55" s="3" t="s">
        <v>878</v>
      </c>
      <c r="BI55" s="8" t="str">
        <f>HYPERLINK("http://dx.doi.org/10.1007/s00521-012-1244-3","http://dx.doi.org/10.1007/s00521-012-1244-3")</f>
        <v>http://dx.doi.org/10.1007/s00521-012-1244-3</v>
      </c>
      <c r="BJ55" s="3" t="s">
        <v>79</v>
      </c>
      <c r="BK55" s="3" t="s">
        <v>79</v>
      </c>
      <c r="BL55" s="3" t="s">
        <v>79</v>
      </c>
      <c r="BM55" s="3" t="s">
        <v>79</v>
      </c>
      <c r="BN55" s="3" t="s">
        <v>79</v>
      </c>
      <c r="BO55" s="3" t="s">
        <v>275</v>
      </c>
      <c r="BP55" s="3" t="s">
        <v>79</v>
      </c>
      <c r="BQ55" s="3" t="s">
        <v>79</v>
      </c>
      <c r="BR55" s="3" t="s">
        <v>79</v>
      </c>
      <c r="BS55" s="3" t="s">
        <v>79</v>
      </c>
      <c r="BT55" s="3" t="s">
        <v>79</v>
      </c>
      <c r="BU55" s="3" t="s">
        <v>95</v>
      </c>
      <c r="BV55" s="3" t="s">
        <v>879</v>
      </c>
      <c r="BW55" s="3" t="str">
        <f>HYPERLINK("https%3A%2F%2Fwww.webofscience.com%2Fwos%2Fwoscc%2Ffull-record%2FWOS:000326889800012","View Full Record in Web of Science")</f>
        <v>View Full Record in Web of Science</v>
      </c>
    </row>
    <row r="56" ht="12.75" customHeight="1">
      <c r="A56" s="5" t="s">
        <v>770</v>
      </c>
      <c r="B56" s="10"/>
      <c r="C56" s="5">
        <v>9.0</v>
      </c>
      <c r="D56" s="3" t="s">
        <v>185</v>
      </c>
      <c r="E56" s="3" t="s">
        <v>880</v>
      </c>
      <c r="F56" s="3" t="s">
        <v>79</v>
      </c>
      <c r="G56" s="3" t="s">
        <v>79</v>
      </c>
      <c r="H56" s="3" t="s">
        <v>79</v>
      </c>
      <c r="I56" s="3" t="s">
        <v>881</v>
      </c>
      <c r="J56" s="3" t="s">
        <v>79</v>
      </c>
      <c r="K56" s="3" t="s">
        <v>79</v>
      </c>
      <c r="L56" s="3" t="s">
        <v>882</v>
      </c>
      <c r="M56" s="3" t="s">
        <v>883</v>
      </c>
      <c r="N56" s="3" t="s">
        <v>79</v>
      </c>
      <c r="O56" s="3" t="s">
        <v>79</v>
      </c>
      <c r="P56" s="3" t="s">
        <v>79</v>
      </c>
      <c r="Q56" s="3" t="s">
        <v>190</v>
      </c>
      <c r="R56" s="3" t="s">
        <v>79</v>
      </c>
      <c r="S56" s="3" t="s">
        <v>79</v>
      </c>
      <c r="T56" s="3" t="s">
        <v>79</v>
      </c>
      <c r="U56" s="3" t="s">
        <v>79</v>
      </c>
      <c r="V56" s="3" t="s">
        <v>79</v>
      </c>
      <c r="W56" s="3" t="s">
        <v>884</v>
      </c>
      <c r="X56" s="3" t="s">
        <v>885</v>
      </c>
      <c r="Y56" s="3" t="s">
        <v>886</v>
      </c>
      <c r="Z56" s="3" t="s">
        <v>887</v>
      </c>
      <c r="AA56" s="3" t="s">
        <v>888</v>
      </c>
      <c r="AB56" s="3" t="s">
        <v>889</v>
      </c>
      <c r="AC56" s="3" t="s">
        <v>890</v>
      </c>
      <c r="AD56" s="3" t="s">
        <v>79</v>
      </c>
      <c r="AE56" s="3" t="s">
        <v>79</v>
      </c>
      <c r="AF56" s="3" t="s">
        <v>79</v>
      </c>
      <c r="AG56" s="3" t="s">
        <v>79</v>
      </c>
      <c r="AH56" s="3" t="s">
        <v>79</v>
      </c>
      <c r="AI56" s="3" t="s">
        <v>79</v>
      </c>
      <c r="AJ56" s="3">
        <v>49.0</v>
      </c>
      <c r="AK56" s="3">
        <v>4.0</v>
      </c>
      <c r="AL56" s="3">
        <v>4.0</v>
      </c>
      <c r="AM56" s="3" t="s">
        <v>79</v>
      </c>
      <c r="AN56" s="3" t="s">
        <v>79</v>
      </c>
      <c r="AO56" s="3" t="s">
        <v>79</v>
      </c>
      <c r="AP56" s="3" t="s">
        <v>79</v>
      </c>
      <c r="AQ56" s="3" t="s">
        <v>79</v>
      </c>
      <c r="AR56" s="3" t="s">
        <v>79</v>
      </c>
      <c r="AS56" s="3" t="s">
        <v>79</v>
      </c>
      <c r="AT56" s="3" t="s">
        <v>79</v>
      </c>
      <c r="AU56" s="3" t="s">
        <v>79</v>
      </c>
      <c r="AV56" s="3" t="s">
        <v>79</v>
      </c>
      <c r="AW56" s="3" t="s">
        <v>575</v>
      </c>
      <c r="AX56" s="3">
        <v>2024.0</v>
      </c>
      <c r="AY56" s="3">
        <v>55.0</v>
      </c>
      <c r="AZ56" s="3">
        <v>4.0</v>
      </c>
      <c r="BA56" s="3" t="s">
        <v>79</v>
      </c>
      <c r="BB56" s="3" t="s">
        <v>79</v>
      </c>
      <c r="BC56" s="3" t="s">
        <v>79</v>
      </c>
      <c r="BD56" s="3" t="s">
        <v>79</v>
      </c>
      <c r="BE56" s="3">
        <v>486.0</v>
      </c>
      <c r="BF56" s="3">
        <v>495.0</v>
      </c>
      <c r="BG56" s="3" t="s">
        <v>79</v>
      </c>
      <c r="BH56" s="3" t="s">
        <v>891</v>
      </c>
      <c r="BI56" s="8" t="str">
        <f>HYPERLINK("http://dx.doi.org/10.1177/15500594241234836","http://dx.doi.org/10.1177/15500594241234836")</f>
        <v>http://dx.doi.org/10.1177/15500594241234836</v>
      </c>
      <c r="BJ56" s="3" t="s">
        <v>79</v>
      </c>
      <c r="BK56" s="3" t="s">
        <v>892</v>
      </c>
      <c r="BL56" s="3" t="s">
        <v>79</v>
      </c>
      <c r="BM56" s="3" t="s">
        <v>79</v>
      </c>
      <c r="BN56" s="3" t="s">
        <v>79</v>
      </c>
      <c r="BO56" s="3" t="s">
        <v>893</v>
      </c>
      <c r="BP56" s="3" t="s">
        <v>79</v>
      </c>
      <c r="BQ56" s="3" t="s">
        <v>79</v>
      </c>
      <c r="BR56" s="3" t="s">
        <v>79</v>
      </c>
      <c r="BS56" s="3" t="s">
        <v>79</v>
      </c>
      <c r="BT56" s="3" t="s">
        <v>79</v>
      </c>
      <c r="BU56" s="3" t="s">
        <v>95</v>
      </c>
      <c r="BV56" s="3" t="s">
        <v>894</v>
      </c>
      <c r="BW56" s="3" t="str">
        <f>HYPERLINK("https%3A%2F%2Fwww.webofscience.com%2Fwos%2Fwoscc%2Ffull-record%2FWOS:001190147200001","View Full Record in Web of Science")</f>
        <v>View Full Record in Web of Science</v>
      </c>
    </row>
    <row r="57" ht="12.75" customHeight="1">
      <c r="A57" s="5" t="s">
        <v>770</v>
      </c>
      <c r="B57" s="10"/>
      <c r="C57" s="5">
        <v>6.0</v>
      </c>
      <c r="D57" s="3" t="s">
        <v>185</v>
      </c>
      <c r="E57" s="3" t="s">
        <v>895</v>
      </c>
      <c r="F57" s="3" t="s">
        <v>79</v>
      </c>
      <c r="G57" s="3" t="s">
        <v>79</v>
      </c>
      <c r="H57" s="3" t="s">
        <v>79</v>
      </c>
      <c r="I57" s="3" t="s">
        <v>896</v>
      </c>
      <c r="J57" s="3" t="s">
        <v>79</v>
      </c>
      <c r="K57" s="3" t="s">
        <v>79</v>
      </c>
      <c r="L57" s="3" t="s">
        <v>897</v>
      </c>
      <c r="M57" s="3" t="s">
        <v>898</v>
      </c>
      <c r="N57" s="3" t="s">
        <v>79</v>
      </c>
      <c r="O57" s="3" t="s">
        <v>79</v>
      </c>
      <c r="P57" s="3" t="s">
        <v>79</v>
      </c>
      <c r="Q57" s="3" t="s">
        <v>190</v>
      </c>
      <c r="R57" s="3" t="s">
        <v>79</v>
      </c>
      <c r="S57" s="3" t="s">
        <v>79</v>
      </c>
      <c r="T57" s="3" t="s">
        <v>79</v>
      </c>
      <c r="U57" s="3" t="s">
        <v>79</v>
      </c>
      <c r="V57" s="3" t="s">
        <v>79</v>
      </c>
      <c r="W57" s="3" t="s">
        <v>899</v>
      </c>
      <c r="X57" s="3" t="s">
        <v>900</v>
      </c>
      <c r="Y57" s="3" t="s">
        <v>901</v>
      </c>
      <c r="Z57" s="3" t="s">
        <v>902</v>
      </c>
      <c r="AA57" s="3" t="s">
        <v>903</v>
      </c>
      <c r="AB57" s="3" t="s">
        <v>904</v>
      </c>
      <c r="AC57" s="3" t="s">
        <v>905</v>
      </c>
      <c r="AD57" s="3" t="s">
        <v>906</v>
      </c>
      <c r="AE57" s="3" t="s">
        <v>907</v>
      </c>
      <c r="AF57" s="3" t="s">
        <v>79</v>
      </c>
      <c r="AG57" s="3" t="s">
        <v>79</v>
      </c>
      <c r="AH57" s="3" t="s">
        <v>79</v>
      </c>
      <c r="AI57" s="3" t="s">
        <v>79</v>
      </c>
      <c r="AJ57" s="3">
        <v>50.0</v>
      </c>
      <c r="AK57" s="3">
        <v>77.0</v>
      </c>
      <c r="AL57" s="3">
        <v>80.0</v>
      </c>
      <c r="AM57" s="3" t="s">
        <v>79</v>
      </c>
      <c r="AN57" s="3" t="s">
        <v>79</v>
      </c>
      <c r="AO57" s="3" t="s">
        <v>79</v>
      </c>
      <c r="AP57" s="3" t="s">
        <v>79</v>
      </c>
      <c r="AQ57" s="3" t="s">
        <v>79</v>
      </c>
      <c r="AR57" s="3" t="s">
        <v>79</v>
      </c>
      <c r="AS57" s="3" t="s">
        <v>79</v>
      </c>
      <c r="AT57" s="3" t="s">
        <v>79</v>
      </c>
      <c r="AU57" s="3" t="s">
        <v>79</v>
      </c>
      <c r="AV57" s="3" t="s">
        <v>79</v>
      </c>
      <c r="AW57" s="3" t="s">
        <v>695</v>
      </c>
      <c r="AX57" s="3">
        <v>2020.0</v>
      </c>
      <c r="AY57" s="3">
        <v>10.0</v>
      </c>
      <c r="AZ57" s="3">
        <v>5.0</v>
      </c>
      <c r="BA57" s="3" t="s">
        <v>79</v>
      </c>
      <c r="BB57" s="3" t="s">
        <v>79</v>
      </c>
      <c r="BC57" s="3" t="s">
        <v>79</v>
      </c>
      <c r="BD57" s="3" t="s">
        <v>79</v>
      </c>
      <c r="BE57" s="3" t="s">
        <v>79</v>
      </c>
      <c r="BF57" s="3" t="s">
        <v>79</v>
      </c>
      <c r="BG57" s="3">
        <v>1605.0</v>
      </c>
      <c r="BH57" s="3" t="s">
        <v>908</v>
      </c>
      <c r="BI57" s="8" t="str">
        <f>HYPERLINK("http://dx.doi.org/10.3390/app10051605","http://dx.doi.org/10.3390/app10051605")</f>
        <v>http://dx.doi.org/10.3390/app10051605</v>
      </c>
      <c r="BJ57" s="3" t="s">
        <v>79</v>
      </c>
      <c r="BK57" s="3" t="s">
        <v>79</v>
      </c>
      <c r="BL57" s="3" t="s">
        <v>79</v>
      </c>
      <c r="BM57" s="3" t="s">
        <v>79</v>
      </c>
      <c r="BN57" s="3" t="s">
        <v>79</v>
      </c>
      <c r="BO57" s="3" t="s">
        <v>909</v>
      </c>
      <c r="BP57" s="3" t="s">
        <v>79</v>
      </c>
      <c r="BQ57" s="3" t="s">
        <v>79</v>
      </c>
      <c r="BR57" s="3" t="s">
        <v>79</v>
      </c>
      <c r="BS57" s="3" t="s">
        <v>79</v>
      </c>
      <c r="BT57" s="3" t="s">
        <v>79</v>
      </c>
      <c r="BU57" s="3" t="s">
        <v>95</v>
      </c>
      <c r="BV57" s="3" t="s">
        <v>910</v>
      </c>
      <c r="BW57" s="3" t="str">
        <f>HYPERLINK("https%3A%2F%2Fwww.webofscience.com%2Fwos%2Fwoscc%2Ffull-record%2FWOS:000525298100053","View Full Record in Web of Science")</f>
        <v>View Full Record in Web of Science</v>
      </c>
    </row>
    <row r="58" ht="12.75" customHeight="1">
      <c r="A58" s="5" t="s">
        <v>770</v>
      </c>
      <c r="B58" s="10"/>
      <c r="C58" s="5">
        <v>8.0</v>
      </c>
      <c r="D58" s="3" t="s">
        <v>185</v>
      </c>
      <c r="E58" s="3" t="s">
        <v>911</v>
      </c>
      <c r="F58" s="3" t="s">
        <v>79</v>
      </c>
      <c r="G58" s="3" t="s">
        <v>79</v>
      </c>
      <c r="H58" s="3" t="s">
        <v>79</v>
      </c>
      <c r="I58" s="3" t="s">
        <v>912</v>
      </c>
      <c r="J58" s="3" t="s">
        <v>79</v>
      </c>
      <c r="K58" s="3" t="s">
        <v>79</v>
      </c>
      <c r="L58" s="3" t="s">
        <v>913</v>
      </c>
      <c r="M58" s="3" t="s">
        <v>595</v>
      </c>
      <c r="N58" s="3" t="s">
        <v>79</v>
      </c>
      <c r="O58" s="3" t="s">
        <v>79</v>
      </c>
      <c r="P58" s="3" t="s">
        <v>79</v>
      </c>
      <c r="Q58" s="3" t="s">
        <v>190</v>
      </c>
      <c r="R58" s="3" t="s">
        <v>79</v>
      </c>
      <c r="S58" s="3" t="s">
        <v>79</v>
      </c>
      <c r="T58" s="3" t="s">
        <v>79</v>
      </c>
      <c r="U58" s="3" t="s">
        <v>79</v>
      </c>
      <c r="V58" s="3" t="s">
        <v>79</v>
      </c>
      <c r="W58" s="3" t="s">
        <v>79</v>
      </c>
      <c r="X58" s="3" t="s">
        <v>914</v>
      </c>
      <c r="Y58" s="3" t="s">
        <v>915</v>
      </c>
      <c r="Z58" s="3" t="s">
        <v>916</v>
      </c>
      <c r="AA58" s="3" t="s">
        <v>917</v>
      </c>
      <c r="AB58" s="3" t="s">
        <v>918</v>
      </c>
      <c r="AC58" s="3" t="s">
        <v>919</v>
      </c>
      <c r="AD58" s="3" t="s">
        <v>920</v>
      </c>
      <c r="AE58" s="3" t="s">
        <v>921</v>
      </c>
      <c r="AF58" s="3" t="s">
        <v>79</v>
      </c>
      <c r="AG58" s="3" t="s">
        <v>79</v>
      </c>
      <c r="AH58" s="3" t="s">
        <v>79</v>
      </c>
      <c r="AI58" s="3" t="s">
        <v>79</v>
      </c>
      <c r="AJ58" s="3">
        <v>56.0</v>
      </c>
      <c r="AK58" s="3">
        <v>6.0</v>
      </c>
      <c r="AL58" s="3">
        <v>9.0</v>
      </c>
      <c r="AM58" s="3" t="s">
        <v>79</v>
      </c>
      <c r="AN58" s="3" t="s">
        <v>79</v>
      </c>
      <c r="AO58" s="3" t="s">
        <v>79</v>
      </c>
      <c r="AP58" s="3" t="s">
        <v>79</v>
      </c>
      <c r="AQ58" s="3" t="s">
        <v>79</v>
      </c>
      <c r="AR58" s="3" t="s">
        <v>79</v>
      </c>
      <c r="AS58" s="3" t="s">
        <v>79</v>
      </c>
      <c r="AT58" s="3" t="s">
        <v>79</v>
      </c>
      <c r="AU58" s="3" t="s">
        <v>79</v>
      </c>
      <c r="AV58" s="3" t="s">
        <v>79</v>
      </c>
      <c r="AW58" s="3" t="s">
        <v>922</v>
      </c>
      <c r="AX58" s="3">
        <v>2023.0</v>
      </c>
      <c r="AY58" s="3">
        <v>18.0</v>
      </c>
      <c r="AZ58" s="3">
        <v>9.0</v>
      </c>
      <c r="BA58" s="3" t="s">
        <v>79</v>
      </c>
      <c r="BB58" s="3" t="s">
        <v>79</v>
      </c>
      <c r="BC58" s="3" t="s">
        <v>79</v>
      </c>
      <c r="BD58" s="3" t="s">
        <v>79</v>
      </c>
      <c r="BE58" s="3" t="s">
        <v>79</v>
      </c>
      <c r="BF58" s="3" t="s">
        <v>79</v>
      </c>
      <c r="BG58" s="3" t="s">
        <v>923</v>
      </c>
      <c r="BH58" s="3" t="s">
        <v>924</v>
      </c>
      <c r="BI58" s="8" t="str">
        <f>HYPERLINK("http://dx.doi.org/10.1371/journal.pone.0276133","http://dx.doi.org/10.1371/journal.pone.0276133")</f>
        <v>http://dx.doi.org/10.1371/journal.pone.0276133</v>
      </c>
      <c r="BJ58" s="3" t="s">
        <v>79</v>
      </c>
      <c r="BK58" s="3" t="s">
        <v>79</v>
      </c>
      <c r="BL58" s="3" t="s">
        <v>79</v>
      </c>
      <c r="BM58" s="3" t="s">
        <v>79</v>
      </c>
      <c r="BN58" s="3" t="s">
        <v>79</v>
      </c>
      <c r="BO58" s="3" t="s">
        <v>606</v>
      </c>
      <c r="BP58" s="3" t="s">
        <v>79</v>
      </c>
      <c r="BQ58" s="3" t="s">
        <v>79</v>
      </c>
      <c r="BR58" s="3" t="s">
        <v>79</v>
      </c>
      <c r="BS58" s="3" t="s">
        <v>79</v>
      </c>
      <c r="BT58" s="3" t="s">
        <v>79</v>
      </c>
      <c r="BU58" s="3" t="s">
        <v>95</v>
      </c>
      <c r="BV58" s="3" t="s">
        <v>925</v>
      </c>
      <c r="BW58" s="3" t="str">
        <f>HYPERLINK("https%3A%2F%2Fwww.webofscience.com%2Fwos%2Fwoscc%2Ffull-record%2FWOS:001091871500003","View Full Record in Web of Science")</f>
        <v>View Full Record in Web of Science</v>
      </c>
    </row>
    <row r="59" ht="12.75" customHeight="1">
      <c r="A59" s="5" t="s">
        <v>561</v>
      </c>
      <c r="B59" s="7"/>
      <c r="C59" s="5">
        <v>7.0</v>
      </c>
      <c r="D59" s="3" t="s">
        <v>185</v>
      </c>
      <c r="E59" s="3" t="s">
        <v>926</v>
      </c>
      <c r="F59" s="3" t="s">
        <v>79</v>
      </c>
      <c r="G59" s="3" t="s">
        <v>79</v>
      </c>
      <c r="H59" s="3" t="s">
        <v>79</v>
      </c>
      <c r="I59" s="3" t="s">
        <v>927</v>
      </c>
      <c r="J59" s="3" t="s">
        <v>79</v>
      </c>
      <c r="K59" s="3" t="s">
        <v>79</v>
      </c>
      <c r="L59" s="3" t="s">
        <v>928</v>
      </c>
      <c r="M59" s="3" t="s">
        <v>929</v>
      </c>
      <c r="N59" s="3" t="s">
        <v>79</v>
      </c>
      <c r="O59" s="3" t="s">
        <v>79</v>
      </c>
      <c r="P59" s="3" t="s">
        <v>79</v>
      </c>
      <c r="Q59" s="3" t="s">
        <v>190</v>
      </c>
      <c r="R59" s="3" t="s">
        <v>79</v>
      </c>
      <c r="S59" s="3" t="s">
        <v>79</v>
      </c>
      <c r="T59" s="3" t="s">
        <v>79</v>
      </c>
      <c r="U59" s="3" t="s">
        <v>79</v>
      </c>
      <c r="V59" s="3" t="s">
        <v>79</v>
      </c>
      <c r="W59" s="3" t="s">
        <v>930</v>
      </c>
      <c r="X59" s="3" t="s">
        <v>931</v>
      </c>
      <c r="Y59" s="3" t="s">
        <v>932</v>
      </c>
      <c r="Z59" s="3" t="s">
        <v>933</v>
      </c>
      <c r="AA59" s="3" t="s">
        <v>934</v>
      </c>
      <c r="AB59" s="3" t="s">
        <v>935</v>
      </c>
      <c r="AC59" s="3" t="s">
        <v>936</v>
      </c>
      <c r="AD59" s="3" t="s">
        <v>937</v>
      </c>
      <c r="AE59" s="3" t="s">
        <v>938</v>
      </c>
      <c r="AF59" s="3" t="s">
        <v>79</v>
      </c>
      <c r="AG59" s="3" t="s">
        <v>79</v>
      </c>
      <c r="AH59" s="3" t="s">
        <v>79</v>
      </c>
      <c r="AI59" s="3" t="s">
        <v>79</v>
      </c>
      <c r="AJ59" s="3">
        <v>41.0</v>
      </c>
      <c r="AK59" s="3">
        <v>2.0</v>
      </c>
      <c r="AL59" s="3">
        <v>2.0</v>
      </c>
      <c r="AM59" s="3" t="s">
        <v>79</v>
      </c>
      <c r="AN59" s="3" t="s">
        <v>79</v>
      </c>
      <c r="AO59" s="3" t="s">
        <v>79</v>
      </c>
      <c r="AP59" s="3" t="s">
        <v>79</v>
      </c>
      <c r="AQ59" s="3" t="s">
        <v>79</v>
      </c>
      <c r="AR59" s="3" t="s">
        <v>79</v>
      </c>
      <c r="AS59" s="3" t="s">
        <v>79</v>
      </c>
      <c r="AT59" s="3" t="s">
        <v>79</v>
      </c>
      <c r="AU59" s="3" t="s">
        <v>79</v>
      </c>
      <c r="AV59" s="3" t="s">
        <v>79</v>
      </c>
      <c r="AW59" s="3" t="s">
        <v>634</v>
      </c>
      <c r="AX59" s="3">
        <v>2017.0</v>
      </c>
      <c r="AY59" s="3">
        <v>15.0</v>
      </c>
      <c r="AZ59" s="3">
        <v>1.0</v>
      </c>
      <c r="BA59" s="3" t="s">
        <v>79</v>
      </c>
      <c r="BB59" s="3" t="s">
        <v>79</v>
      </c>
      <c r="BC59" s="3" t="s">
        <v>79</v>
      </c>
      <c r="BD59" s="3" t="s">
        <v>79</v>
      </c>
      <c r="BE59" s="3">
        <v>494.0</v>
      </c>
      <c r="BF59" s="3">
        <v>500.0</v>
      </c>
      <c r="BG59" s="3" t="s">
        <v>79</v>
      </c>
      <c r="BH59" s="3" t="s">
        <v>939</v>
      </c>
      <c r="BI59" s="8" t="str">
        <f>HYPERLINK("http://dx.doi.org/10.1515/phys-2017-0056","http://dx.doi.org/10.1515/phys-2017-0056")</f>
        <v>http://dx.doi.org/10.1515/phys-2017-0056</v>
      </c>
      <c r="BJ59" s="3" t="s">
        <v>79</v>
      </c>
      <c r="BK59" s="3" t="s">
        <v>79</v>
      </c>
      <c r="BL59" s="3" t="s">
        <v>79</v>
      </c>
      <c r="BM59" s="3" t="s">
        <v>79</v>
      </c>
      <c r="BN59" s="3" t="s">
        <v>79</v>
      </c>
      <c r="BO59" s="3" t="s">
        <v>940</v>
      </c>
      <c r="BP59" s="3" t="s">
        <v>79</v>
      </c>
      <c r="BQ59" s="3" t="s">
        <v>79</v>
      </c>
      <c r="BR59" s="3" t="s">
        <v>79</v>
      </c>
      <c r="BS59" s="3" t="s">
        <v>79</v>
      </c>
      <c r="BT59" s="3" t="s">
        <v>79</v>
      </c>
      <c r="BU59" s="3" t="s">
        <v>95</v>
      </c>
      <c r="BV59" s="3" t="s">
        <v>941</v>
      </c>
      <c r="BW59" s="3" t="str">
        <f>HYPERLINK("https%3A%2F%2Fwww.webofscience.com%2Fwos%2Fwoscc%2Ffull-record%2FWOS:000408793600006","View Full Record in Web of Science")</f>
        <v>View Full Record in Web of Science</v>
      </c>
    </row>
    <row r="60" ht="12.75" customHeight="1">
      <c r="A60" s="5" t="s">
        <v>561</v>
      </c>
      <c r="B60" s="7"/>
      <c r="C60" s="5">
        <v>8.0</v>
      </c>
      <c r="D60" s="3" t="s">
        <v>185</v>
      </c>
      <c r="E60" s="3" t="s">
        <v>942</v>
      </c>
      <c r="F60" s="3" t="s">
        <v>79</v>
      </c>
      <c r="G60" s="3" t="s">
        <v>79</v>
      </c>
      <c r="H60" s="3" t="s">
        <v>79</v>
      </c>
      <c r="I60" s="3" t="s">
        <v>943</v>
      </c>
      <c r="J60" s="3" t="s">
        <v>79</v>
      </c>
      <c r="K60" s="3" t="s">
        <v>79</v>
      </c>
      <c r="L60" s="3" t="s">
        <v>944</v>
      </c>
      <c r="M60" s="3" t="s">
        <v>945</v>
      </c>
      <c r="N60" s="3" t="s">
        <v>79</v>
      </c>
      <c r="O60" s="3" t="s">
        <v>79</v>
      </c>
      <c r="P60" s="3" t="s">
        <v>79</v>
      </c>
      <c r="Q60" s="3" t="s">
        <v>190</v>
      </c>
      <c r="R60" s="3" t="s">
        <v>79</v>
      </c>
      <c r="S60" s="3" t="s">
        <v>79</v>
      </c>
      <c r="T60" s="3" t="s">
        <v>79</v>
      </c>
      <c r="U60" s="3" t="s">
        <v>79</v>
      </c>
      <c r="V60" s="3" t="s">
        <v>79</v>
      </c>
      <c r="W60" s="3" t="s">
        <v>946</v>
      </c>
      <c r="X60" s="3" t="s">
        <v>79</v>
      </c>
      <c r="Y60" s="3" t="s">
        <v>947</v>
      </c>
      <c r="Z60" s="3" t="s">
        <v>948</v>
      </c>
      <c r="AA60" s="3" t="s">
        <v>949</v>
      </c>
      <c r="AB60" s="3" t="s">
        <v>950</v>
      </c>
      <c r="AC60" s="3" t="s">
        <v>951</v>
      </c>
      <c r="AD60" s="3" t="s">
        <v>79</v>
      </c>
      <c r="AE60" s="3" t="s">
        <v>952</v>
      </c>
      <c r="AF60" s="3" t="s">
        <v>79</v>
      </c>
      <c r="AG60" s="3" t="s">
        <v>79</v>
      </c>
      <c r="AH60" s="3" t="s">
        <v>79</v>
      </c>
      <c r="AI60" s="3" t="s">
        <v>79</v>
      </c>
      <c r="AJ60" s="3">
        <v>26.0</v>
      </c>
      <c r="AK60" s="3">
        <v>3.0</v>
      </c>
      <c r="AL60" s="3">
        <v>3.0</v>
      </c>
      <c r="AM60" s="3" t="s">
        <v>79</v>
      </c>
      <c r="AN60" s="3" t="s">
        <v>79</v>
      </c>
      <c r="AO60" s="3" t="s">
        <v>79</v>
      </c>
      <c r="AP60" s="3" t="s">
        <v>79</v>
      </c>
      <c r="AQ60" s="3" t="s">
        <v>79</v>
      </c>
      <c r="AR60" s="3" t="s">
        <v>79</v>
      </c>
      <c r="AS60" s="3" t="s">
        <v>79</v>
      </c>
      <c r="AT60" s="3" t="s">
        <v>79</v>
      </c>
      <c r="AU60" s="3" t="s">
        <v>79</v>
      </c>
      <c r="AV60" s="3" t="s">
        <v>79</v>
      </c>
      <c r="AW60" s="3" t="s">
        <v>497</v>
      </c>
      <c r="AX60" s="3">
        <v>2023.0</v>
      </c>
      <c r="AY60" s="3">
        <v>8.0</v>
      </c>
      <c r="AZ60" s="3">
        <v>4.0</v>
      </c>
      <c r="BA60" s="3" t="s">
        <v>79</v>
      </c>
      <c r="BB60" s="3" t="s">
        <v>79</v>
      </c>
      <c r="BC60" s="3" t="s">
        <v>79</v>
      </c>
      <c r="BD60" s="3" t="s">
        <v>79</v>
      </c>
      <c r="BE60" s="3" t="s">
        <v>79</v>
      </c>
      <c r="BF60" s="3" t="s">
        <v>79</v>
      </c>
      <c r="BG60" s="3">
        <v>91.0</v>
      </c>
      <c r="BH60" s="3" t="s">
        <v>953</v>
      </c>
      <c r="BI60" s="8" t="str">
        <f>HYPERLINK("http://dx.doi.org/10.3390/inventions8040091","http://dx.doi.org/10.3390/inventions8040091")</f>
        <v>http://dx.doi.org/10.3390/inventions8040091</v>
      </c>
      <c r="BJ60" s="3" t="s">
        <v>79</v>
      </c>
      <c r="BK60" s="3" t="s">
        <v>79</v>
      </c>
      <c r="BL60" s="3" t="s">
        <v>79</v>
      </c>
      <c r="BM60" s="3" t="s">
        <v>79</v>
      </c>
      <c r="BN60" s="3" t="s">
        <v>79</v>
      </c>
      <c r="BO60" s="3" t="s">
        <v>139</v>
      </c>
      <c r="BP60" s="3" t="s">
        <v>79</v>
      </c>
      <c r="BQ60" s="3" t="s">
        <v>79</v>
      </c>
      <c r="BR60" s="3" t="s">
        <v>79</v>
      </c>
      <c r="BS60" s="3" t="s">
        <v>79</v>
      </c>
      <c r="BT60" s="3" t="s">
        <v>79</v>
      </c>
      <c r="BU60" s="3" t="s">
        <v>95</v>
      </c>
      <c r="BV60" s="3" t="s">
        <v>954</v>
      </c>
      <c r="BW60" s="3" t="str">
        <f>HYPERLINK("https%3A%2F%2Fwww.webofscience.com%2Fwos%2Fwoscc%2Ffull-record%2FWOS:001057673800001","View Full Record in Web of Science")</f>
        <v>View Full Record in Web of Science</v>
      </c>
    </row>
    <row r="61" ht="12.75" customHeight="1">
      <c r="A61" s="5" t="s">
        <v>422</v>
      </c>
      <c r="B61" s="10"/>
      <c r="D61" s="3" t="s">
        <v>77</v>
      </c>
      <c r="E61" s="3" t="s">
        <v>955</v>
      </c>
      <c r="F61" s="3" t="s">
        <v>79</v>
      </c>
      <c r="G61" s="3" t="s">
        <v>79</v>
      </c>
      <c r="H61" s="3" t="s">
        <v>80</v>
      </c>
      <c r="I61" s="3" t="s">
        <v>956</v>
      </c>
      <c r="J61" s="3" t="s">
        <v>79</v>
      </c>
      <c r="K61" s="3" t="s">
        <v>79</v>
      </c>
      <c r="L61" s="3" t="s">
        <v>957</v>
      </c>
      <c r="M61" s="3" t="s">
        <v>958</v>
      </c>
      <c r="N61" s="3" t="s">
        <v>79</v>
      </c>
      <c r="O61" s="3" t="s">
        <v>79</v>
      </c>
      <c r="P61" s="3" t="s">
        <v>79</v>
      </c>
      <c r="Q61" s="3" t="s">
        <v>84</v>
      </c>
      <c r="R61" s="3" t="s">
        <v>79</v>
      </c>
      <c r="S61" s="3" t="s">
        <v>79</v>
      </c>
      <c r="T61" s="3" t="s">
        <v>79</v>
      </c>
      <c r="U61" s="3" t="s">
        <v>79</v>
      </c>
      <c r="V61" s="3" t="s">
        <v>79</v>
      </c>
      <c r="W61" s="3" t="s">
        <v>959</v>
      </c>
      <c r="X61" s="3" t="s">
        <v>79</v>
      </c>
      <c r="Y61" s="3" t="s">
        <v>960</v>
      </c>
      <c r="Z61" s="3" t="s">
        <v>961</v>
      </c>
      <c r="AA61" s="3" t="s">
        <v>962</v>
      </c>
      <c r="AB61" s="3" t="s">
        <v>963</v>
      </c>
      <c r="AC61" s="3" t="s">
        <v>964</v>
      </c>
      <c r="AD61" s="3" t="s">
        <v>965</v>
      </c>
      <c r="AE61" s="3" t="s">
        <v>966</v>
      </c>
      <c r="AF61" s="3" t="s">
        <v>79</v>
      </c>
      <c r="AG61" s="3" t="s">
        <v>79</v>
      </c>
      <c r="AH61" s="3" t="s">
        <v>79</v>
      </c>
      <c r="AI61" s="3" t="s">
        <v>79</v>
      </c>
      <c r="AJ61" s="3">
        <v>14.0</v>
      </c>
      <c r="AK61" s="3">
        <v>6.0</v>
      </c>
      <c r="AL61" s="3">
        <v>6.0</v>
      </c>
      <c r="AM61" s="3" t="s">
        <v>79</v>
      </c>
      <c r="AN61" s="3" t="s">
        <v>79</v>
      </c>
      <c r="AO61" s="3" t="s">
        <v>79</v>
      </c>
      <c r="AP61" s="3" t="s">
        <v>79</v>
      </c>
      <c r="AQ61" s="3" t="s">
        <v>79</v>
      </c>
      <c r="AR61" s="3" t="s">
        <v>79</v>
      </c>
      <c r="AS61" s="3" t="s">
        <v>79</v>
      </c>
      <c r="AT61" s="3" t="s">
        <v>79</v>
      </c>
      <c r="AU61" s="3" t="s">
        <v>79</v>
      </c>
      <c r="AV61" s="3" t="s">
        <v>79</v>
      </c>
      <c r="AW61" s="3" t="s">
        <v>79</v>
      </c>
      <c r="AX61" s="3">
        <v>2017.0</v>
      </c>
      <c r="AY61" s="3" t="s">
        <v>79</v>
      </c>
      <c r="AZ61" s="3" t="s">
        <v>79</v>
      </c>
      <c r="BA61" s="3" t="s">
        <v>79</v>
      </c>
      <c r="BB61" s="3" t="s">
        <v>79</v>
      </c>
      <c r="BC61" s="3" t="s">
        <v>79</v>
      </c>
      <c r="BD61" s="3" t="s">
        <v>79</v>
      </c>
      <c r="BE61" s="3">
        <v>311.0</v>
      </c>
      <c r="BF61" s="3">
        <v>316.0</v>
      </c>
      <c r="BG61" s="3" t="s">
        <v>79</v>
      </c>
      <c r="BH61" s="3" t="s">
        <v>79</v>
      </c>
      <c r="BI61" s="3" t="s">
        <v>79</v>
      </c>
      <c r="BJ61" s="3" t="s">
        <v>79</v>
      </c>
      <c r="BK61" s="3" t="s">
        <v>79</v>
      </c>
      <c r="BL61" s="3" t="s">
        <v>79</v>
      </c>
      <c r="BM61" s="3" t="s">
        <v>79</v>
      </c>
      <c r="BN61" s="3" t="s">
        <v>79</v>
      </c>
      <c r="BO61" s="3" t="s">
        <v>967</v>
      </c>
      <c r="BP61" s="3" t="s">
        <v>79</v>
      </c>
      <c r="BQ61" s="3" t="s">
        <v>79</v>
      </c>
      <c r="BR61" s="3" t="s">
        <v>79</v>
      </c>
      <c r="BS61" s="3" t="s">
        <v>79</v>
      </c>
      <c r="BT61" s="3" t="s">
        <v>79</v>
      </c>
      <c r="BU61" s="3" t="s">
        <v>95</v>
      </c>
      <c r="BV61" s="3" t="s">
        <v>968</v>
      </c>
      <c r="BW61" s="3" t="str">
        <f>HYPERLINK("https%3A%2F%2Fwww.webofscience.com%2Fwos%2Fwoscc%2Ffull-record%2FWOS:000425855100053","View Full Record in Web of Science")</f>
        <v>View Full Record in Web of Science</v>
      </c>
    </row>
    <row r="62" ht="12.75" customHeight="1">
      <c r="A62" s="5" t="s">
        <v>561</v>
      </c>
      <c r="B62" s="7"/>
      <c r="C62" s="5">
        <v>9.0</v>
      </c>
      <c r="D62" s="3" t="s">
        <v>77</v>
      </c>
      <c r="E62" s="3" t="s">
        <v>969</v>
      </c>
      <c r="F62" s="3" t="s">
        <v>79</v>
      </c>
      <c r="G62" s="3" t="s">
        <v>79</v>
      </c>
      <c r="H62" s="3" t="s">
        <v>80</v>
      </c>
      <c r="I62" s="3" t="s">
        <v>970</v>
      </c>
      <c r="J62" s="3" t="s">
        <v>79</v>
      </c>
      <c r="K62" s="3" t="s">
        <v>79</v>
      </c>
      <c r="L62" s="3" t="s">
        <v>971</v>
      </c>
      <c r="M62" s="3" t="s">
        <v>503</v>
      </c>
      <c r="N62" s="3" t="s">
        <v>504</v>
      </c>
      <c r="O62" s="3" t="s">
        <v>79</v>
      </c>
      <c r="P62" s="3" t="s">
        <v>79</v>
      </c>
      <c r="Q62" s="3" t="s">
        <v>84</v>
      </c>
      <c r="R62" s="3" t="s">
        <v>79</v>
      </c>
      <c r="S62" s="3" t="s">
        <v>79</v>
      </c>
      <c r="T62" s="3" t="s">
        <v>79</v>
      </c>
      <c r="U62" s="3" t="s">
        <v>79</v>
      </c>
      <c r="V62" s="3" t="s">
        <v>79</v>
      </c>
      <c r="W62" s="3" t="s">
        <v>79</v>
      </c>
      <c r="X62" s="3" t="s">
        <v>914</v>
      </c>
      <c r="Y62" s="3" t="s">
        <v>972</v>
      </c>
      <c r="Z62" s="3" t="s">
        <v>973</v>
      </c>
      <c r="AA62" s="3" t="s">
        <v>974</v>
      </c>
      <c r="AB62" s="3" t="s">
        <v>975</v>
      </c>
      <c r="AC62" s="3" t="s">
        <v>976</v>
      </c>
      <c r="AD62" s="3" t="s">
        <v>977</v>
      </c>
      <c r="AE62" s="3" t="s">
        <v>978</v>
      </c>
      <c r="AF62" s="3" t="s">
        <v>79</v>
      </c>
      <c r="AG62" s="3" t="s">
        <v>79</v>
      </c>
      <c r="AH62" s="3" t="s">
        <v>79</v>
      </c>
      <c r="AI62" s="3" t="s">
        <v>79</v>
      </c>
      <c r="AJ62" s="3">
        <v>14.0</v>
      </c>
      <c r="AK62" s="3">
        <v>1.0</v>
      </c>
      <c r="AL62" s="3">
        <v>2.0</v>
      </c>
      <c r="AM62" s="3" t="s">
        <v>79</v>
      </c>
      <c r="AN62" s="3" t="s">
        <v>79</v>
      </c>
      <c r="AO62" s="3" t="s">
        <v>79</v>
      </c>
      <c r="AP62" s="3" t="s">
        <v>79</v>
      </c>
      <c r="AQ62" s="3" t="s">
        <v>79</v>
      </c>
      <c r="AR62" s="3" t="s">
        <v>79</v>
      </c>
      <c r="AS62" s="3" t="s">
        <v>79</v>
      </c>
      <c r="AT62" s="3" t="s">
        <v>79</v>
      </c>
      <c r="AU62" s="3" t="s">
        <v>79</v>
      </c>
      <c r="AV62" s="3" t="s">
        <v>79</v>
      </c>
      <c r="AW62" s="3" t="s">
        <v>79</v>
      </c>
      <c r="AX62" s="3">
        <v>2020.0</v>
      </c>
      <c r="AY62" s="3" t="s">
        <v>79</v>
      </c>
      <c r="AZ62" s="3" t="s">
        <v>79</v>
      </c>
      <c r="BA62" s="3" t="s">
        <v>79</v>
      </c>
      <c r="BB62" s="3" t="s">
        <v>79</v>
      </c>
      <c r="BC62" s="3" t="s">
        <v>79</v>
      </c>
      <c r="BD62" s="3" t="s">
        <v>79</v>
      </c>
      <c r="BE62" s="3">
        <v>159.0</v>
      </c>
      <c r="BF62" s="3">
        <v>163.0</v>
      </c>
      <c r="BG62" s="3" t="s">
        <v>79</v>
      </c>
      <c r="BH62" s="3" t="s">
        <v>979</v>
      </c>
      <c r="BI62" s="8" t="str">
        <f>HYPERLINK("http://dx.doi.org/10.1109/bci48061.2020.9061608","http://dx.doi.org/10.1109/bci48061.2020.9061608")</f>
        <v>http://dx.doi.org/10.1109/bci48061.2020.9061608</v>
      </c>
      <c r="BJ62" s="3" t="s">
        <v>79</v>
      </c>
      <c r="BK62" s="3" t="s">
        <v>79</v>
      </c>
      <c r="BL62" s="3" t="s">
        <v>79</v>
      </c>
      <c r="BM62" s="3" t="s">
        <v>79</v>
      </c>
      <c r="BN62" s="3" t="s">
        <v>79</v>
      </c>
      <c r="BO62" s="3" t="s">
        <v>275</v>
      </c>
      <c r="BP62" s="3" t="s">
        <v>79</v>
      </c>
      <c r="BQ62" s="3" t="s">
        <v>79</v>
      </c>
      <c r="BR62" s="3" t="s">
        <v>79</v>
      </c>
      <c r="BS62" s="3" t="s">
        <v>79</v>
      </c>
      <c r="BT62" s="3" t="s">
        <v>79</v>
      </c>
      <c r="BU62" s="3" t="s">
        <v>95</v>
      </c>
      <c r="BV62" s="3" t="s">
        <v>980</v>
      </c>
      <c r="BW62" s="3" t="str">
        <f>HYPERLINK("https%3A%2F%2Fwww.webofscience.com%2Fwos%2Fwoscc%2Ffull-record%2FWOS:000612527100039","View Full Record in Web of Science")</f>
        <v>View Full Record in Web of Science</v>
      </c>
    </row>
    <row r="63" ht="12.75" customHeight="1">
      <c r="A63" s="5" t="s">
        <v>561</v>
      </c>
      <c r="B63" s="7"/>
      <c r="C63" s="5">
        <v>9.0</v>
      </c>
      <c r="D63" s="3" t="s">
        <v>185</v>
      </c>
      <c r="E63" s="3" t="s">
        <v>981</v>
      </c>
      <c r="F63" s="3" t="s">
        <v>79</v>
      </c>
      <c r="G63" s="3" t="s">
        <v>79</v>
      </c>
      <c r="H63" s="3" t="s">
        <v>79</v>
      </c>
      <c r="I63" s="3" t="s">
        <v>982</v>
      </c>
      <c r="J63" s="3" t="s">
        <v>79</v>
      </c>
      <c r="K63" s="3" t="s">
        <v>79</v>
      </c>
      <c r="L63" s="3" t="s">
        <v>983</v>
      </c>
      <c r="M63" s="3" t="s">
        <v>984</v>
      </c>
      <c r="N63" s="3" t="s">
        <v>79</v>
      </c>
      <c r="O63" s="3" t="s">
        <v>79</v>
      </c>
      <c r="P63" s="3" t="s">
        <v>79</v>
      </c>
      <c r="Q63" s="3" t="s">
        <v>190</v>
      </c>
      <c r="R63" s="3" t="s">
        <v>79</v>
      </c>
      <c r="S63" s="3" t="s">
        <v>79</v>
      </c>
      <c r="T63" s="3" t="s">
        <v>79</v>
      </c>
      <c r="U63" s="3" t="s">
        <v>79</v>
      </c>
      <c r="V63" s="3" t="s">
        <v>79</v>
      </c>
      <c r="W63" s="3" t="s">
        <v>985</v>
      </c>
      <c r="X63" s="3" t="s">
        <v>986</v>
      </c>
      <c r="Y63" s="3" t="s">
        <v>987</v>
      </c>
      <c r="Z63" s="3" t="s">
        <v>988</v>
      </c>
      <c r="AA63" s="3" t="s">
        <v>989</v>
      </c>
      <c r="AB63" s="3" t="s">
        <v>990</v>
      </c>
      <c r="AC63" s="3" t="s">
        <v>79</v>
      </c>
      <c r="AD63" s="3" t="s">
        <v>991</v>
      </c>
      <c r="AE63" s="3" t="s">
        <v>79</v>
      </c>
      <c r="AF63" s="3" t="s">
        <v>79</v>
      </c>
      <c r="AG63" s="3" t="s">
        <v>79</v>
      </c>
      <c r="AH63" s="3" t="s">
        <v>79</v>
      </c>
      <c r="AI63" s="3" t="s">
        <v>79</v>
      </c>
      <c r="AJ63" s="3">
        <v>9.0</v>
      </c>
      <c r="AK63" s="3">
        <v>4.0</v>
      </c>
      <c r="AL63" s="3">
        <v>6.0</v>
      </c>
      <c r="AM63" s="3" t="s">
        <v>79</v>
      </c>
      <c r="AN63" s="3" t="s">
        <v>79</v>
      </c>
      <c r="AO63" s="3" t="s">
        <v>79</v>
      </c>
      <c r="AP63" s="3" t="s">
        <v>79</v>
      </c>
      <c r="AQ63" s="3" t="s">
        <v>79</v>
      </c>
      <c r="AR63" s="3" t="s">
        <v>79</v>
      </c>
      <c r="AS63" s="3" t="s">
        <v>79</v>
      </c>
      <c r="AT63" s="3" t="s">
        <v>79</v>
      </c>
      <c r="AU63" s="3" t="s">
        <v>79</v>
      </c>
      <c r="AV63" s="3" t="s">
        <v>79</v>
      </c>
      <c r="AW63" s="3" t="s">
        <v>634</v>
      </c>
      <c r="AX63" s="3">
        <v>2015.0</v>
      </c>
      <c r="AY63" s="3">
        <v>98.0</v>
      </c>
      <c r="AZ63" s="3">
        <v>1.0</v>
      </c>
      <c r="BA63" s="3" t="s">
        <v>79</v>
      </c>
      <c r="BB63" s="3" t="s">
        <v>79</v>
      </c>
      <c r="BC63" s="3" t="s">
        <v>79</v>
      </c>
      <c r="BD63" s="3" t="s">
        <v>79</v>
      </c>
      <c r="BE63" s="3">
        <v>47.0</v>
      </c>
      <c r="BF63" s="3">
        <v>54.0</v>
      </c>
      <c r="BG63" s="3" t="s">
        <v>79</v>
      </c>
      <c r="BH63" s="3" t="s">
        <v>992</v>
      </c>
      <c r="BI63" s="8" t="str">
        <f>HYPERLINK("http://dx.doi.org/10.1002/ecj.11622","http://dx.doi.org/10.1002/ecj.11622")</f>
        <v>http://dx.doi.org/10.1002/ecj.11622</v>
      </c>
      <c r="BJ63" s="3" t="s">
        <v>79</v>
      </c>
      <c r="BK63" s="3" t="s">
        <v>79</v>
      </c>
      <c r="BL63" s="3" t="s">
        <v>79</v>
      </c>
      <c r="BM63" s="3" t="s">
        <v>79</v>
      </c>
      <c r="BN63" s="3" t="s">
        <v>79</v>
      </c>
      <c r="BO63" s="3" t="s">
        <v>139</v>
      </c>
      <c r="BP63" s="3" t="s">
        <v>79</v>
      </c>
      <c r="BQ63" s="3" t="s">
        <v>79</v>
      </c>
      <c r="BR63" s="3" t="s">
        <v>79</v>
      </c>
      <c r="BS63" s="3" t="s">
        <v>79</v>
      </c>
      <c r="BT63" s="3" t="s">
        <v>79</v>
      </c>
      <c r="BU63" s="3" t="s">
        <v>95</v>
      </c>
      <c r="BV63" s="3" t="s">
        <v>993</v>
      </c>
      <c r="BW63" s="3" t="str">
        <f>HYPERLINK("https%3A%2F%2Fwww.webofscience.com%2Fwos%2Fwoscc%2Ffull-record%2FWOS:000346698900007","View Full Record in Web of Science")</f>
        <v>View Full Record in Web of Science</v>
      </c>
    </row>
    <row r="64" ht="12.75" customHeight="1">
      <c r="A64" s="5" t="s">
        <v>422</v>
      </c>
      <c r="B64" s="10"/>
      <c r="D64" s="3" t="s">
        <v>77</v>
      </c>
      <c r="E64" s="3" t="s">
        <v>994</v>
      </c>
      <c r="F64" s="3" t="s">
        <v>79</v>
      </c>
      <c r="G64" s="3" t="s">
        <v>79</v>
      </c>
      <c r="H64" s="3" t="s">
        <v>80</v>
      </c>
      <c r="I64" s="3" t="s">
        <v>995</v>
      </c>
      <c r="J64" s="3" t="s">
        <v>79</v>
      </c>
      <c r="K64" s="3" t="s">
        <v>79</v>
      </c>
      <c r="L64" s="3" t="s">
        <v>996</v>
      </c>
      <c r="M64" s="3" t="s">
        <v>997</v>
      </c>
      <c r="N64" s="3" t="s">
        <v>254</v>
      </c>
      <c r="O64" s="3" t="s">
        <v>79</v>
      </c>
      <c r="P64" s="3" t="s">
        <v>79</v>
      </c>
      <c r="Q64" s="3" t="s">
        <v>84</v>
      </c>
      <c r="R64" s="3" t="s">
        <v>79</v>
      </c>
      <c r="S64" s="3" t="s">
        <v>79</v>
      </c>
      <c r="T64" s="3" t="s">
        <v>79</v>
      </c>
      <c r="U64" s="3" t="s">
        <v>79</v>
      </c>
      <c r="V64" s="3" t="s">
        <v>79</v>
      </c>
      <c r="W64" s="3" t="s">
        <v>79</v>
      </c>
      <c r="X64" s="3" t="s">
        <v>998</v>
      </c>
      <c r="Y64" s="3" t="s">
        <v>999</v>
      </c>
      <c r="Z64" s="3" t="s">
        <v>1000</v>
      </c>
      <c r="AA64" s="3" t="s">
        <v>1001</v>
      </c>
      <c r="AB64" s="3" t="s">
        <v>1002</v>
      </c>
      <c r="AC64" s="3" t="s">
        <v>1003</v>
      </c>
      <c r="AD64" s="3" t="s">
        <v>79</v>
      </c>
      <c r="AE64" s="3" t="s">
        <v>1004</v>
      </c>
      <c r="AF64" s="3" t="s">
        <v>79</v>
      </c>
      <c r="AG64" s="3" t="s">
        <v>79</v>
      </c>
      <c r="AH64" s="3" t="s">
        <v>79</v>
      </c>
      <c r="AI64" s="3" t="s">
        <v>79</v>
      </c>
      <c r="AJ64" s="3">
        <v>10.0</v>
      </c>
      <c r="AK64" s="3">
        <v>7.0</v>
      </c>
      <c r="AL64" s="3">
        <v>11.0</v>
      </c>
      <c r="AM64" s="3" t="s">
        <v>79</v>
      </c>
      <c r="AN64" s="3" t="s">
        <v>79</v>
      </c>
      <c r="AO64" s="3" t="s">
        <v>79</v>
      </c>
      <c r="AP64" s="3" t="s">
        <v>79</v>
      </c>
      <c r="AQ64" s="3" t="s">
        <v>79</v>
      </c>
      <c r="AR64" s="3" t="s">
        <v>79</v>
      </c>
      <c r="AS64" s="3" t="s">
        <v>79</v>
      </c>
      <c r="AT64" s="3" t="s">
        <v>79</v>
      </c>
      <c r="AU64" s="3" t="s">
        <v>79</v>
      </c>
      <c r="AV64" s="3" t="s">
        <v>79</v>
      </c>
      <c r="AW64" s="3" t="s">
        <v>79</v>
      </c>
      <c r="AX64" s="3">
        <v>2008.0</v>
      </c>
      <c r="AY64" s="3" t="s">
        <v>79</v>
      </c>
      <c r="AZ64" s="3" t="s">
        <v>79</v>
      </c>
      <c r="BA64" s="3" t="s">
        <v>79</v>
      </c>
      <c r="BB64" s="3" t="s">
        <v>79</v>
      </c>
      <c r="BC64" s="3" t="s">
        <v>79</v>
      </c>
      <c r="BD64" s="3" t="s">
        <v>79</v>
      </c>
      <c r="BE64" s="3">
        <v>634.0</v>
      </c>
      <c r="BF64" s="3">
        <v>637.0</v>
      </c>
      <c r="BG64" s="3" t="s">
        <v>79</v>
      </c>
      <c r="BH64" s="3" t="s">
        <v>79</v>
      </c>
      <c r="BI64" s="3" t="s">
        <v>79</v>
      </c>
      <c r="BJ64" s="3" t="s">
        <v>79</v>
      </c>
      <c r="BK64" s="3" t="s">
        <v>79</v>
      </c>
      <c r="BL64" s="3" t="s">
        <v>79</v>
      </c>
      <c r="BM64" s="3" t="s">
        <v>79</v>
      </c>
      <c r="BN64" s="3" t="s">
        <v>79</v>
      </c>
      <c r="BO64" s="3" t="s">
        <v>139</v>
      </c>
      <c r="BP64" s="3" t="s">
        <v>79</v>
      </c>
      <c r="BQ64" s="3" t="s">
        <v>79</v>
      </c>
      <c r="BR64" s="3" t="s">
        <v>79</v>
      </c>
      <c r="BS64" s="3" t="s">
        <v>79</v>
      </c>
      <c r="BT64" s="3" t="s">
        <v>79</v>
      </c>
      <c r="BU64" s="3" t="s">
        <v>95</v>
      </c>
      <c r="BV64" s="3" t="s">
        <v>1005</v>
      </c>
      <c r="BW64" s="3" t="str">
        <f>HYPERLINK("https%3A%2F%2Fwww.webofscience.com%2Fwos%2Fwoscc%2Ffull-record%2FWOS:000262404500159","View Full Record in Web of Science")</f>
        <v>View Full Record in Web of Science</v>
      </c>
    </row>
    <row r="65" ht="12.75" customHeight="1">
      <c r="A65" s="5" t="s">
        <v>1006</v>
      </c>
      <c r="B65" s="10"/>
      <c r="C65" s="1">
        <v>9.0</v>
      </c>
      <c r="D65" s="3" t="s">
        <v>77</v>
      </c>
      <c r="E65" s="3" t="s">
        <v>1007</v>
      </c>
      <c r="F65" s="3" t="s">
        <v>79</v>
      </c>
      <c r="G65" s="3" t="s">
        <v>79</v>
      </c>
      <c r="H65" s="3" t="s">
        <v>80</v>
      </c>
      <c r="I65" s="3" t="s">
        <v>1008</v>
      </c>
      <c r="J65" s="3" t="s">
        <v>79</v>
      </c>
      <c r="K65" s="3" t="s">
        <v>79</v>
      </c>
      <c r="L65" s="3" t="s">
        <v>1009</v>
      </c>
      <c r="M65" s="3" t="s">
        <v>1010</v>
      </c>
      <c r="N65" s="3" t="s">
        <v>158</v>
      </c>
      <c r="O65" s="3" t="s">
        <v>79</v>
      </c>
      <c r="P65" s="3" t="s">
        <v>79</v>
      </c>
      <c r="Q65" s="3" t="s">
        <v>84</v>
      </c>
      <c r="R65" s="3" t="s">
        <v>79</v>
      </c>
      <c r="S65" s="3" t="s">
        <v>79</v>
      </c>
      <c r="T65" s="3" t="s">
        <v>79</v>
      </c>
      <c r="U65" s="3" t="s">
        <v>79</v>
      </c>
      <c r="V65" s="3" t="s">
        <v>79</v>
      </c>
      <c r="W65" s="3" t="s">
        <v>1011</v>
      </c>
      <c r="X65" s="3" t="s">
        <v>79</v>
      </c>
      <c r="Y65" s="3" t="s">
        <v>1012</v>
      </c>
      <c r="Z65" s="3" t="s">
        <v>1013</v>
      </c>
      <c r="AA65" s="3" t="s">
        <v>1014</v>
      </c>
      <c r="AB65" s="3" t="s">
        <v>1015</v>
      </c>
      <c r="AC65" s="3" t="s">
        <v>79</v>
      </c>
      <c r="AD65" s="3" t="s">
        <v>1016</v>
      </c>
      <c r="AE65" s="3" t="s">
        <v>1017</v>
      </c>
      <c r="AF65" s="3" t="s">
        <v>79</v>
      </c>
      <c r="AG65" s="3" t="s">
        <v>79</v>
      </c>
      <c r="AH65" s="3" t="s">
        <v>79</v>
      </c>
      <c r="AI65" s="3" t="s">
        <v>79</v>
      </c>
      <c r="AJ65" s="3">
        <v>10.0</v>
      </c>
      <c r="AK65" s="3">
        <v>3.0</v>
      </c>
      <c r="AL65" s="3">
        <v>4.0</v>
      </c>
      <c r="AM65" s="3" t="s">
        <v>79</v>
      </c>
      <c r="AN65" s="3" t="s">
        <v>79</v>
      </c>
      <c r="AO65" s="3" t="s">
        <v>79</v>
      </c>
      <c r="AP65" s="3" t="s">
        <v>79</v>
      </c>
      <c r="AQ65" s="3" t="s">
        <v>79</v>
      </c>
      <c r="AR65" s="3" t="s">
        <v>79</v>
      </c>
      <c r="AS65" s="3" t="s">
        <v>79</v>
      </c>
      <c r="AT65" s="3" t="s">
        <v>79</v>
      </c>
      <c r="AU65" s="3" t="s">
        <v>79</v>
      </c>
      <c r="AV65" s="3" t="s">
        <v>79</v>
      </c>
      <c r="AW65" s="3" t="s">
        <v>79</v>
      </c>
      <c r="AX65" s="3">
        <v>2013.0</v>
      </c>
      <c r="AY65" s="3" t="s">
        <v>79</v>
      </c>
      <c r="AZ65" s="3" t="s">
        <v>79</v>
      </c>
      <c r="BA65" s="3" t="s">
        <v>79</v>
      </c>
      <c r="BB65" s="3" t="s">
        <v>79</v>
      </c>
      <c r="BC65" s="3" t="s">
        <v>79</v>
      </c>
      <c r="BD65" s="3" t="s">
        <v>79</v>
      </c>
      <c r="BE65" s="3">
        <v>109.0</v>
      </c>
      <c r="BF65" s="3">
        <v>111.0</v>
      </c>
      <c r="BG65" s="3" t="s">
        <v>79</v>
      </c>
      <c r="BH65" s="3" t="s">
        <v>79</v>
      </c>
      <c r="BI65" s="3" t="s">
        <v>79</v>
      </c>
      <c r="BJ65" s="3" t="s">
        <v>79</v>
      </c>
      <c r="BK65" s="3" t="s">
        <v>79</v>
      </c>
      <c r="BL65" s="3" t="s">
        <v>79</v>
      </c>
      <c r="BM65" s="3" t="s">
        <v>79</v>
      </c>
      <c r="BN65" s="3" t="s">
        <v>79</v>
      </c>
      <c r="BO65" s="3" t="s">
        <v>168</v>
      </c>
      <c r="BP65" s="3" t="s">
        <v>79</v>
      </c>
      <c r="BQ65" s="3" t="s">
        <v>79</v>
      </c>
      <c r="BR65" s="3" t="s">
        <v>79</v>
      </c>
      <c r="BS65" s="3" t="s">
        <v>79</v>
      </c>
      <c r="BT65" s="3" t="s">
        <v>79</v>
      </c>
      <c r="BU65" s="3" t="s">
        <v>95</v>
      </c>
      <c r="BV65" s="3" t="s">
        <v>1018</v>
      </c>
      <c r="BW65" s="3" t="str">
        <f>HYPERLINK("https%3A%2F%2Fwww.webofscience.com%2Fwos%2Fwoscc%2Ffull-record%2FWOS:000395465900043","View Full Record in Web of Science")</f>
        <v>View Full Record in Web of Science</v>
      </c>
    </row>
    <row r="66" ht="12.75" customHeight="1">
      <c r="A66" s="5" t="s">
        <v>1006</v>
      </c>
      <c r="B66" s="10"/>
      <c r="C66" s="1">
        <v>8.0</v>
      </c>
      <c r="D66" s="3" t="s">
        <v>77</v>
      </c>
      <c r="E66" s="3" t="s">
        <v>1019</v>
      </c>
      <c r="F66" s="3" t="s">
        <v>79</v>
      </c>
      <c r="G66" s="3" t="s">
        <v>79</v>
      </c>
      <c r="H66" s="3" t="s">
        <v>80</v>
      </c>
      <c r="I66" s="3" t="s">
        <v>1020</v>
      </c>
      <c r="J66" s="3" t="s">
        <v>79</v>
      </c>
      <c r="K66" s="3" t="s">
        <v>79</v>
      </c>
      <c r="L66" s="3" t="s">
        <v>1021</v>
      </c>
      <c r="M66" s="3" t="s">
        <v>1022</v>
      </c>
      <c r="N66" s="3" t="s">
        <v>254</v>
      </c>
      <c r="O66" s="3" t="s">
        <v>79</v>
      </c>
      <c r="P66" s="3" t="s">
        <v>79</v>
      </c>
      <c r="Q66" s="3" t="s">
        <v>84</v>
      </c>
      <c r="R66" s="3" t="s">
        <v>79</v>
      </c>
      <c r="S66" s="3" t="s">
        <v>79</v>
      </c>
      <c r="T66" s="3" t="s">
        <v>79</v>
      </c>
      <c r="U66" s="3" t="s">
        <v>79</v>
      </c>
      <c r="V66" s="3" t="s">
        <v>79</v>
      </c>
      <c r="W66" s="3" t="s">
        <v>1023</v>
      </c>
      <c r="X66" s="3" t="s">
        <v>1024</v>
      </c>
      <c r="Y66" s="3" t="s">
        <v>1025</v>
      </c>
      <c r="Z66" s="3" t="s">
        <v>1026</v>
      </c>
      <c r="AA66" s="3" t="s">
        <v>1027</v>
      </c>
      <c r="AB66" s="3" t="s">
        <v>1028</v>
      </c>
      <c r="AC66" s="3" t="s">
        <v>1029</v>
      </c>
      <c r="AD66" s="3" t="s">
        <v>1030</v>
      </c>
      <c r="AE66" s="3" t="s">
        <v>1031</v>
      </c>
      <c r="AF66" s="3" t="s">
        <v>79</v>
      </c>
      <c r="AG66" s="3" t="s">
        <v>79</v>
      </c>
      <c r="AH66" s="3" t="s">
        <v>79</v>
      </c>
      <c r="AI66" s="3" t="s">
        <v>79</v>
      </c>
      <c r="AJ66" s="3">
        <v>24.0</v>
      </c>
      <c r="AK66" s="3">
        <v>12.0</v>
      </c>
      <c r="AL66" s="3">
        <v>12.0</v>
      </c>
      <c r="AM66" s="3" t="s">
        <v>79</v>
      </c>
      <c r="AN66" s="3" t="s">
        <v>79</v>
      </c>
      <c r="AO66" s="3" t="s">
        <v>79</v>
      </c>
      <c r="AP66" s="3" t="s">
        <v>79</v>
      </c>
      <c r="AQ66" s="3" t="s">
        <v>79</v>
      </c>
      <c r="AR66" s="3" t="s">
        <v>79</v>
      </c>
      <c r="AS66" s="3" t="s">
        <v>79</v>
      </c>
      <c r="AT66" s="3" t="s">
        <v>79</v>
      </c>
      <c r="AU66" s="3" t="s">
        <v>79</v>
      </c>
      <c r="AV66" s="3" t="s">
        <v>79</v>
      </c>
      <c r="AW66" s="3" t="s">
        <v>79</v>
      </c>
      <c r="AX66" s="3">
        <v>2015.0</v>
      </c>
      <c r="AY66" s="3" t="s">
        <v>79</v>
      </c>
      <c r="AZ66" s="3" t="s">
        <v>79</v>
      </c>
      <c r="BA66" s="3" t="s">
        <v>79</v>
      </c>
      <c r="BB66" s="3" t="s">
        <v>79</v>
      </c>
      <c r="BC66" s="3" t="s">
        <v>79</v>
      </c>
      <c r="BD66" s="3" t="s">
        <v>79</v>
      </c>
      <c r="BE66" s="3">
        <v>1067.0</v>
      </c>
      <c r="BF66" s="3">
        <v>1070.0</v>
      </c>
      <c r="BG66" s="3" t="s">
        <v>79</v>
      </c>
      <c r="BH66" s="3" t="s">
        <v>79</v>
      </c>
      <c r="BI66" s="3" t="s">
        <v>79</v>
      </c>
      <c r="BJ66" s="3" t="s">
        <v>79</v>
      </c>
      <c r="BK66" s="3" t="s">
        <v>79</v>
      </c>
      <c r="BL66" s="3" t="s">
        <v>79</v>
      </c>
      <c r="BM66" s="3" t="s">
        <v>79</v>
      </c>
      <c r="BN66" s="3" t="s">
        <v>79</v>
      </c>
      <c r="BO66" s="3" t="s">
        <v>139</v>
      </c>
      <c r="BP66" s="3" t="s">
        <v>79</v>
      </c>
      <c r="BQ66" s="3" t="s">
        <v>79</v>
      </c>
      <c r="BR66" s="3" t="s">
        <v>79</v>
      </c>
      <c r="BS66" s="3" t="s">
        <v>79</v>
      </c>
      <c r="BT66" s="3" t="s">
        <v>79</v>
      </c>
      <c r="BU66" s="3" t="s">
        <v>95</v>
      </c>
      <c r="BV66" s="3" t="s">
        <v>1032</v>
      </c>
      <c r="BW66" s="3" t="str">
        <f>HYPERLINK("https%3A%2F%2Fwww.webofscience.com%2Fwos%2Fwoscc%2Ffull-record%2FWOS:000371717201090","View Full Record in Web of Science")</f>
        <v>View Full Record in Web of Science</v>
      </c>
    </row>
    <row r="67" ht="12.75" customHeight="1">
      <c r="A67" s="5" t="s">
        <v>1006</v>
      </c>
      <c r="B67" s="10"/>
      <c r="C67" s="1">
        <v>6.0</v>
      </c>
      <c r="D67" s="3" t="s">
        <v>77</v>
      </c>
      <c r="E67" s="3" t="s">
        <v>1033</v>
      </c>
      <c r="F67" s="3" t="s">
        <v>79</v>
      </c>
      <c r="G67" s="3" t="s">
        <v>1034</v>
      </c>
      <c r="H67" s="3" t="s">
        <v>79</v>
      </c>
      <c r="I67" s="3" t="s">
        <v>1035</v>
      </c>
      <c r="J67" s="3" t="s">
        <v>79</v>
      </c>
      <c r="K67" s="3" t="s">
        <v>79</v>
      </c>
      <c r="L67" s="3" t="s">
        <v>1036</v>
      </c>
      <c r="M67" s="3" t="s">
        <v>1037</v>
      </c>
      <c r="N67" s="3" t="s">
        <v>1038</v>
      </c>
      <c r="O67" s="3" t="s">
        <v>79</v>
      </c>
      <c r="P67" s="3" t="s">
        <v>79</v>
      </c>
      <c r="Q67" s="3" t="s">
        <v>84</v>
      </c>
      <c r="R67" s="3" t="s">
        <v>79</v>
      </c>
      <c r="S67" s="3" t="s">
        <v>79</v>
      </c>
      <c r="T67" s="3" t="s">
        <v>79</v>
      </c>
      <c r="U67" s="3" t="s">
        <v>79</v>
      </c>
      <c r="V67" s="3" t="s">
        <v>79</v>
      </c>
      <c r="W67" s="3" t="s">
        <v>1039</v>
      </c>
      <c r="X67" s="3" t="s">
        <v>1040</v>
      </c>
      <c r="Y67" s="3" t="s">
        <v>1041</v>
      </c>
      <c r="Z67" s="3" t="s">
        <v>1042</v>
      </c>
      <c r="AA67" s="3" t="s">
        <v>1043</v>
      </c>
      <c r="AB67" s="3" t="s">
        <v>1044</v>
      </c>
      <c r="AC67" s="3" t="s">
        <v>1045</v>
      </c>
      <c r="AD67" s="3" t="s">
        <v>1046</v>
      </c>
      <c r="AE67" s="3" t="s">
        <v>1047</v>
      </c>
      <c r="AF67" s="3" t="s">
        <v>79</v>
      </c>
      <c r="AG67" s="3" t="s">
        <v>79</v>
      </c>
      <c r="AH67" s="3" t="s">
        <v>79</v>
      </c>
      <c r="AI67" s="3" t="s">
        <v>79</v>
      </c>
      <c r="AJ67" s="3">
        <v>21.0</v>
      </c>
      <c r="AK67" s="3">
        <v>0.0</v>
      </c>
      <c r="AL67" s="3">
        <v>0.0</v>
      </c>
      <c r="AM67" s="3" t="s">
        <v>79</v>
      </c>
      <c r="AN67" s="3" t="s">
        <v>79</v>
      </c>
      <c r="AO67" s="3" t="s">
        <v>79</v>
      </c>
      <c r="AP67" s="3" t="s">
        <v>79</v>
      </c>
      <c r="AQ67" s="3" t="s">
        <v>79</v>
      </c>
      <c r="AR67" s="3" t="s">
        <v>79</v>
      </c>
      <c r="AS67" s="3" t="s">
        <v>79</v>
      </c>
      <c r="AT67" s="3" t="s">
        <v>79</v>
      </c>
      <c r="AU67" s="3" t="s">
        <v>79</v>
      </c>
      <c r="AV67" s="3" t="s">
        <v>79</v>
      </c>
      <c r="AW67" s="3" t="s">
        <v>79</v>
      </c>
      <c r="AX67" s="3">
        <v>2022.0</v>
      </c>
      <c r="AY67" s="3">
        <v>13087.0</v>
      </c>
      <c r="AZ67" s="3" t="s">
        <v>79</v>
      </c>
      <c r="BA67" s="3" t="s">
        <v>79</v>
      </c>
      <c r="BB67" s="3" t="s">
        <v>79</v>
      </c>
      <c r="BC67" s="3" t="s">
        <v>79</v>
      </c>
      <c r="BD67" s="3" t="s">
        <v>79</v>
      </c>
      <c r="BE67" s="3">
        <v>18.0</v>
      </c>
      <c r="BF67" s="3">
        <v>32.0</v>
      </c>
      <c r="BG67" s="3" t="s">
        <v>79</v>
      </c>
      <c r="BH67" s="3" t="s">
        <v>1048</v>
      </c>
      <c r="BI67" s="8" t="str">
        <f>HYPERLINK("http://dx.doi.org/10.1007/978-3-030-95405-5_2","http://dx.doi.org/10.1007/978-3-030-95405-5_2")</f>
        <v>http://dx.doi.org/10.1007/978-3-030-95405-5_2</v>
      </c>
      <c r="BJ67" s="3" t="s">
        <v>79</v>
      </c>
      <c r="BK67" s="3" t="s">
        <v>79</v>
      </c>
      <c r="BL67" s="3" t="s">
        <v>79</v>
      </c>
      <c r="BM67" s="3" t="s">
        <v>79</v>
      </c>
      <c r="BN67" s="3" t="s">
        <v>79</v>
      </c>
      <c r="BO67" s="3" t="s">
        <v>275</v>
      </c>
      <c r="BP67" s="3" t="s">
        <v>79</v>
      </c>
      <c r="BQ67" s="3" t="s">
        <v>79</v>
      </c>
      <c r="BR67" s="3" t="s">
        <v>79</v>
      </c>
      <c r="BS67" s="3" t="s">
        <v>79</v>
      </c>
      <c r="BT67" s="3" t="s">
        <v>79</v>
      </c>
      <c r="BU67" s="3" t="s">
        <v>95</v>
      </c>
      <c r="BV67" s="3" t="s">
        <v>1049</v>
      </c>
      <c r="BW67" s="3" t="str">
        <f>HYPERLINK("https%3A%2F%2Fwww.webofscience.com%2Fwos%2Fwoscc%2Ffull-record%2FWOS:000755371100002","View Full Record in Web of Science")</f>
        <v>View Full Record in Web of Science</v>
      </c>
    </row>
    <row r="68" ht="12.75" customHeight="1">
      <c r="A68" s="5" t="s">
        <v>1006</v>
      </c>
      <c r="B68" s="10"/>
      <c r="C68" s="1">
        <v>9.0</v>
      </c>
      <c r="D68" s="3" t="s">
        <v>185</v>
      </c>
      <c r="E68" s="3" t="s">
        <v>1050</v>
      </c>
      <c r="F68" s="3" t="s">
        <v>79</v>
      </c>
      <c r="G68" s="3" t="s">
        <v>79</v>
      </c>
      <c r="H68" s="3" t="s">
        <v>79</v>
      </c>
      <c r="I68" s="3" t="s">
        <v>1051</v>
      </c>
      <c r="J68" s="3" t="s">
        <v>79</v>
      </c>
      <c r="K68" s="3" t="s">
        <v>79</v>
      </c>
      <c r="L68" s="3" t="s">
        <v>1052</v>
      </c>
      <c r="M68" s="3" t="s">
        <v>234</v>
      </c>
      <c r="N68" s="3" t="s">
        <v>79</v>
      </c>
      <c r="O68" s="3" t="s">
        <v>79</v>
      </c>
      <c r="P68" s="3" t="s">
        <v>79</v>
      </c>
      <c r="Q68" s="3" t="s">
        <v>190</v>
      </c>
      <c r="R68" s="3" t="s">
        <v>79</v>
      </c>
      <c r="S68" s="3" t="s">
        <v>79</v>
      </c>
      <c r="T68" s="3" t="s">
        <v>79</v>
      </c>
      <c r="U68" s="3" t="s">
        <v>79</v>
      </c>
      <c r="V68" s="3" t="s">
        <v>79</v>
      </c>
      <c r="W68" s="3" t="s">
        <v>1053</v>
      </c>
      <c r="X68" s="3" t="s">
        <v>1054</v>
      </c>
      <c r="Y68" s="3" t="s">
        <v>1055</v>
      </c>
      <c r="Z68" s="3" t="s">
        <v>1056</v>
      </c>
      <c r="AA68" s="3" t="s">
        <v>1057</v>
      </c>
      <c r="AB68" s="3" t="s">
        <v>1058</v>
      </c>
      <c r="AC68" s="3" t="s">
        <v>1059</v>
      </c>
      <c r="AD68" s="3" t="s">
        <v>1060</v>
      </c>
      <c r="AE68" s="3" t="s">
        <v>1061</v>
      </c>
      <c r="AF68" s="3" t="s">
        <v>79</v>
      </c>
      <c r="AG68" s="3" t="s">
        <v>79</v>
      </c>
      <c r="AH68" s="3" t="s">
        <v>79</v>
      </c>
      <c r="AI68" s="3" t="s">
        <v>79</v>
      </c>
      <c r="AJ68" s="3">
        <v>56.0</v>
      </c>
      <c r="AK68" s="3">
        <v>5.0</v>
      </c>
      <c r="AL68" s="3">
        <v>7.0</v>
      </c>
      <c r="AM68" s="3" t="s">
        <v>79</v>
      </c>
      <c r="AN68" s="3" t="s">
        <v>79</v>
      </c>
      <c r="AO68" s="3" t="s">
        <v>79</v>
      </c>
      <c r="AP68" s="3" t="s">
        <v>79</v>
      </c>
      <c r="AQ68" s="3" t="s">
        <v>79</v>
      </c>
      <c r="AR68" s="3" t="s">
        <v>79</v>
      </c>
      <c r="AS68" s="3" t="s">
        <v>79</v>
      </c>
      <c r="AT68" s="3" t="s">
        <v>79</v>
      </c>
      <c r="AU68" s="3" t="s">
        <v>79</v>
      </c>
      <c r="AV68" s="3" t="s">
        <v>79</v>
      </c>
      <c r="AW68" s="3" t="s">
        <v>695</v>
      </c>
      <c r="AX68" s="3">
        <v>2023.0</v>
      </c>
      <c r="AY68" s="3">
        <v>23.0</v>
      </c>
      <c r="AZ68" s="3">
        <v>6.0</v>
      </c>
      <c r="BA68" s="3" t="s">
        <v>79</v>
      </c>
      <c r="BB68" s="3" t="s">
        <v>79</v>
      </c>
      <c r="BC68" s="3" t="s">
        <v>79</v>
      </c>
      <c r="BD68" s="3" t="s">
        <v>79</v>
      </c>
      <c r="BE68" s="3" t="s">
        <v>79</v>
      </c>
      <c r="BF68" s="3" t="s">
        <v>79</v>
      </c>
      <c r="BG68" s="3">
        <v>3171.0</v>
      </c>
      <c r="BH68" s="3" t="s">
        <v>1062</v>
      </c>
      <c r="BI68" s="8" t="str">
        <f>HYPERLINK("http://dx.doi.org/10.3390/s23063171","http://dx.doi.org/10.3390/s23063171")</f>
        <v>http://dx.doi.org/10.3390/s23063171</v>
      </c>
      <c r="BJ68" s="3" t="s">
        <v>79</v>
      </c>
      <c r="BK68" s="3" t="s">
        <v>79</v>
      </c>
      <c r="BL68" s="3" t="s">
        <v>79</v>
      </c>
      <c r="BM68" s="3" t="s">
        <v>79</v>
      </c>
      <c r="BN68" s="3" t="s">
        <v>79</v>
      </c>
      <c r="BO68" s="3" t="s">
        <v>246</v>
      </c>
      <c r="BP68" s="3" t="s">
        <v>79</v>
      </c>
      <c r="BQ68" s="3" t="s">
        <v>79</v>
      </c>
      <c r="BR68" s="3" t="s">
        <v>79</v>
      </c>
      <c r="BS68" s="3" t="s">
        <v>79</v>
      </c>
      <c r="BT68" s="3" t="s">
        <v>79</v>
      </c>
      <c r="BU68" s="3" t="s">
        <v>95</v>
      </c>
      <c r="BV68" s="3" t="s">
        <v>1063</v>
      </c>
      <c r="BW68" s="3" t="str">
        <f>HYPERLINK("https%3A%2F%2Fwww.webofscience.com%2Fwos%2Fwoscc%2Ffull-record%2FWOS:000957798000001","View Full Record in Web of Science")</f>
        <v>View Full Record in Web of Science</v>
      </c>
    </row>
    <row r="69" ht="12.75" customHeight="1">
      <c r="A69" s="5" t="s">
        <v>1006</v>
      </c>
      <c r="B69" s="10"/>
      <c r="C69" s="1">
        <v>9.0</v>
      </c>
      <c r="D69" s="3" t="s">
        <v>77</v>
      </c>
      <c r="E69" s="3" t="s">
        <v>1064</v>
      </c>
      <c r="F69" s="3" t="s">
        <v>79</v>
      </c>
      <c r="G69" s="3" t="s">
        <v>79</v>
      </c>
      <c r="H69" s="3" t="s">
        <v>80</v>
      </c>
      <c r="I69" s="3" t="s">
        <v>1065</v>
      </c>
      <c r="J69" s="3" t="s">
        <v>79</v>
      </c>
      <c r="K69" s="3" t="s">
        <v>79</v>
      </c>
      <c r="L69" s="3" t="s">
        <v>1066</v>
      </c>
      <c r="M69" s="3" t="s">
        <v>1067</v>
      </c>
      <c r="N69" s="3" t="s">
        <v>504</v>
      </c>
      <c r="O69" s="3" t="s">
        <v>79</v>
      </c>
      <c r="P69" s="3" t="s">
        <v>79</v>
      </c>
      <c r="Q69" s="3" t="s">
        <v>84</v>
      </c>
      <c r="R69" s="3" t="s">
        <v>79</v>
      </c>
      <c r="S69" s="3" t="s">
        <v>79</v>
      </c>
      <c r="T69" s="3" t="s">
        <v>79</v>
      </c>
      <c r="U69" s="3" t="s">
        <v>79</v>
      </c>
      <c r="V69" s="3" t="s">
        <v>79</v>
      </c>
      <c r="W69" s="3" t="s">
        <v>1068</v>
      </c>
      <c r="X69" s="3" t="s">
        <v>1069</v>
      </c>
      <c r="Y69" s="3" t="s">
        <v>1070</v>
      </c>
      <c r="Z69" s="3" t="s">
        <v>1071</v>
      </c>
      <c r="AA69" s="3" t="s">
        <v>1072</v>
      </c>
      <c r="AB69" s="3" t="s">
        <v>510</v>
      </c>
      <c r="AC69" s="3" t="s">
        <v>1073</v>
      </c>
      <c r="AD69" s="3" t="s">
        <v>79</v>
      </c>
      <c r="AE69" s="3" t="s">
        <v>79</v>
      </c>
      <c r="AF69" s="3" t="s">
        <v>79</v>
      </c>
      <c r="AG69" s="3" t="s">
        <v>79</v>
      </c>
      <c r="AH69" s="3" t="s">
        <v>79</v>
      </c>
      <c r="AI69" s="3" t="s">
        <v>79</v>
      </c>
      <c r="AJ69" s="3">
        <v>42.0</v>
      </c>
      <c r="AK69" s="3">
        <v>0.0</v>
      </c>
      <c r="AL69" s="3">
        <v>0.0</v>
      </c>
      <c r="AM69" s="3" t="s">
        <v>79</v>
      </c>
      <c r="AN69" s="3" t="s">
        <v>79</v>
      </c>
      <c r="AO69" s="3" t="s">
        <v>79</v>
      </c>
      <c r="AP69" s="3" t="s">
        <v>79</v>
      </c>
      <c r="AQ69" s="3" t="s">
        <v>79</v>
      </c>
      <c r="AR69" s="3" t="s">
        <v>79</v>
      </c>
      <c r="AS69" s="3" t="s">
        <v>79</v>
      </c>
      <c r="AT69" s="3" t="s">
        <v>79</v>
      </c>
      <c r="AU69" s="3" t="s">
        <v>79</v>
      </c>
      <c r="AV69" s="3" t="s">
        <v>79</v>
      </c>
      <c r="AW69" s="3" t="s">
        <v>79</v>
      </c>
      <c r="AX69" s="3">
        <v>2023.0</v>
      </c>
      <c r="AY69" s="3" t="s">
        <v>79</v>
      </c>
      <c r="AZ69" s="3" t="s">
        <v>79</v>
      </c>
      <c r="BA69" s="3" t="s">
        <v>79</v>
      </c>
      <c r="BB69" s="3" t="s">
        <v>79</v>
      </c>
      <c r="BC69" s="3" t="s">
        <v>79</v>
      </c>
      <c r="BD69" s="3" t="s">
        <v>79</v>
      </c>
      <c r="BE69" s="3" t="s">
        <v>79</v>
      </c>
      <c r="BF69" s="3" t="s">
        <v>79</v>
      </c>
      <c r="BG69" s="3" t="s">
        <v>79</v>
      </c>
      <c r="BH69" s="3" t="s">
        <v>1074</v>
      </c>
      <c r="BI69" s="8" t="str">
        <f>HYPERLINK("http://dx.doi.org/10.1109/BCI57258.2023.10078687","http://dx.doi.org/10.1109/BCI57258.2023.10078687")</f>
        <v>http://dx.doi.org/10.1109/BCI57258.2023.10078687</v>
      </c>
      <c r="BJ69" s="3" t="s">
        <v>79</v>
      </c>
      <c r="BK69" s="3" t="s">
        <v>79</v>
      </c>
      <c r="BL69" s="3" t="s">
        <v>79</v>
      </c>
      <c r="BM69" s="3" t="s">
        <v>79</v>
      </c>
      <c r="BN69" s="3" t="s">
        <v>79</v>
      </c>
      <c r="BO69" s="3" t="s">
        <v>275</v>
      </c>
      <c r="BP69" s="3" t="s">
        <v>79</v>
      </c>
      <c r="BQ69" s="3" t="s">
        <v>79</v>
      </c>
      <c r="BR69" s="3" t="s">
        <v>79</v>
      </c>
      <c r="BS69" s="3" t="s">
        <v>79</v>
      </c>
      <c r="BT69" s="3" t="s">
        <v>79</v>
      </c>
      <c r="BU69" s="3" t="s">
        <v>95</v>
      </c>
      <c r="BV69" s="3" t="s">
        <v>1075</v>
      </c>
      <c r="BW69" s="3" t="str">
        <f>HYPERLINK("https%3A%2F%2Fwww.webofscience.com%2Fwos%2Fwoscc%2Ffull-record%2FWOS:000982525300048","View Full Record in Web of Science")</f>
        <v>View Full Record in Web of Science</v>
      </c>
    </row>
    <row r="70" ht="12.75" customHeight="1">
      <c r="A70" s="5" t="s">
        <v>1006</v>
      </c>
      <c r="B70" s="10"/>
      <c r="C70" s="1">
        <v>9.0</v>
      </c>
      <c r="D70" s="3" t="s">
        <v>185</v>
      </c>
      <c r="E70" s="3" t="s">
        <v>1076</v>
      </c>
      <c r="F70" s="3" t="s">
        <v>79</v>
      </c>
      <c r="G70" s="3" t="s">
        <v>79</v>
      </c>
      <c r="H70" s="3" t="s">
        <v>79</v>
      </c>
      <c r="I70" s="3" t="s">
        <v>1077</v>
      </c>
      <c r="J70" s="3" t="s">
        <v>79</v>
      </c>
      <c r="K70" s="3" t="s">
        <v>79</v>
      </c>
      <c r="L70" s="3" t="s">
        <v>1078</v>
      </c>
      <c r="M70" s="3" t="s">
        <v>1079</v>
      </c>
      <c r="N70" s="3" t="s">
        <v>79</v>
      </c>
      <c r="O70" s="3" t="s">
        <v>79</v>
      </c>
      <c r="P70" s="3" t="s">
        <v>79</v>
      </c>
      <c r="Q70" s="3" t="s">
        <v>190</v>
      </c>
      <c r="R70" s="3" t="s">
        <v>79</v>
      </c>
      <c r="S70" s="3" t="s">
        <v>79</v>
      </c>
      <c r="T70" s="3" t="s">
        <v>79</v>
      </c>
      <c r="U70" s="3" t="s">
        <v>79</v>
      </c>
      <c r="V70" s="3" t="s">
        <v>79</v>
      </c>
      <c r="W70" s="3" t="s">
        <v>1080</v>
      </c>
      <c r="X70" s="3" t="s">
        <v>1081</v>
      </c>
      <c r="Y70" s="3" t="s">
        <v>1082</v>
      </c>
      <c r="Z70" s="3" t="s">
        <v>1083</v>
      </c>
      <c r="AA70" s="3" t="s">
        <v>1084</v>
      </c>
      <c r="AB70" s="3" t="s">
        <v>1085</v>
      </c>
      <c r="AC70" s="3" t="s">
        <v>1086</v>
      </c>
      <c r="AD70" s="3" t="s">
        <v>1087</v>
      </c>
      <c r="AE70" s="3" t="s">
        <v>1088</v>
      </c>
      <c r="AF70" s="3" t="s">
        <v>79</v>
      </c>
      <c r="AG70" s="3" t="s">
        <v>79</v>
      </c>
      <c r="AH70" s="3" t="s">
        <v>79</v>
      </c>
      <c r="AI70" s="3" t="s">
        <v>79</v>
      </c>
      <c r="AJ70" s="3">
        <v>34.0</v>
      </c>
      <c r="AK70" s="3">
        <v>31.0</v>
      </c>
      <c r="AL70" s="3">
        <v>34.0</v>
      </c>
      <c r="AM70" s="3" t="s">
        <v>79</v>
      </c>
      <c r="AN70" s="3" t="s">
        <v>79</v>
      </c>
      <c r="AO70" s="3" t="s">
        <v>79</v>
      </c>
      <c r="AP70" s="3" t="s">
        <v>79</v>
      </c>
      <c r="AQ70" s="3" t="s">
        <v>79</v>
      </c>
      <c r="AR70" s="3" t="s">
        <v>79</v>
      </c>
      <c r="AS70" s="3" t="s">
        <v>79</v>
      </c>
      <c r="AT70" s="3" t="s">
        <v>79</v>
      </c>
      <c r="AU70" s="3" t="s">
        <v>79</v>
      </c>
      <c r="AV70" s="3" t="s">
        <v>79</v>
      </c>
      <c r="AW70" s="3" t="s">
        <v>634</v>
      </c>
      <c r="AX70" s="3">
        <v>2020.0</v>
      </c>
      <c r="AY70" s="3">
        <v>9.0</v>
      </c>
      <c r="AZ70" s="3">
        <v>1.0</v>
      </c>
      <c r="BA70" s="3" t="s">
        <v>79</v>
      </c>
      <c r="BB70" s="3" t="s">
        <v>79</v>
      </c>
      <c r="BC70" s="3" t="s">
        <v>79</v>
      </c>
      <c r="BD70" s="3" t="s">
        <v>79</v>
      </c>
      <c r="BE70" s="3" t="s">
        <v>79</v>
      </c>
      <c r="BF70" s="3" t="s">
        <v>79</v>
      </c>
      <c r="BG70" s="3">
        <v>174.0</v>
      </c>
      <c r="BH70" s="3" t="s">
        <v>1089</v>
      </c>
      <c r="BI70" s="8" t="str">
        <f>HYPERLINK("http://dx.doi.org/10.3390/electronics9010174","http://dx.doi.org/10.3390/electronics9010174")</f>
        <v>http://dx.doi.org/10.3390/electronics9010174</v>
      </c>
      <c r="BJ70" s="3" t="s">
        <v>79</v>
      </c>
      <c r="BK70" s="3" t="s">
        <v>79</v>
      </c>
      <c r="BL70" s="3" t="s">
        <v>79</v>
      </c>
      <c r="BM70" s="3" t="s">
        <v>79</v>
      </c>
      <c r="BN70" s="3" t="s">
        <v>79</v>
      </c>
      <c r="BO70" s="3" t="s">
        <v>1090</v>
      </c>
      <c r="BP70" s="3" t="s">
        <v>79</v>
      </c>
      <c r="BQ70" s="3" t="s">
        <v>79</v>
      </c>
      <c r="BR70" s="3" t="s">
        <v>79</v>
      </c>
      <c r="BS70" s="3" t="s">
        <v>79</v>
      </c>
      <c r="BT70" s="3" t="s">
        <v>79</v>
      </c>
      <c r="BU70" s="3" t="s">
        <v>95</v>
      </c>
      <c r="BV70" s="3" t="s">
        <v>1091</v>
      </c>
      <c r="BW70" s="3" t="str">
        <f>HYPERLINK("https%3A%2F%2Fwww.webofscience.com%2Fwos%2Fwoscc%2Ffull-record%2FWOS:000516827000174","View Full Record in Web of Science")</f>
        <v>View Full Record in Web of Science</v>
      </c>
    </row>
    <row r="71" ht="12.75" customHeight="1">
      <c r="A71" s="5" t="s">
        <v>1006</v>
      </c>
      <c r="B71" s="10"/>
      <c r="C71" s="1">
        <v>7.0</v>
      </c>
      <c r="D71" s="3" t="s">
        <v>77</v>
      </c>
      <c r="E71" s="3" t="s">
        <v>1092</v>
      </c>
      <c r="F71" s="3" t="s">
        <v>79</v>
      </c>
      <c r="G71" s="3" t="s">
        <v>1093</v>
      </c>
      <c r="H71" s="3" t="s">
        <v>79</v>
      </c>
      <c r="I71" s="3" t="s">
        <v>1094</v>
      </c>
      <c r="J71" s="3" t="s">
        <v>79</v>
      </c>
      <c r="K71" s="3" t="s">
        <v>79</v>
      </c>
      <c r="L71" s="3" t="s">
        <v>1095</v>
      </c>
      <c r="M71" s="3" t="s">
        <v>1096</v>
      </c>
      <c r="N71" s="3" t="s">
        <v>1097</v>
      </c>
      <c r="O71" s="3" t="s">
        <v>79</v>
      </c>
      <c r="P71" s="3" t="s">
        <v>79</v>
      </c>
      <c r="Q71" s="3" t="s">
        <v>84</v>
      </c>
      <c r="R71" s="3" t="s">
        <v>79</v>
      </c>
      <c r="S71" s="3" t="s">
        <v>79</v>
      </c>
      <c r="T71" s="3" t="s">
        <v>79</v>
      </c>
      <c r="U71" s="3" t="s">
        <v>79</v>
      </c>
      <c r="V71" s="3" t="s">
        <v>79</v>
      </c>
      <c r="W71" s="3" t="s">
        <v>1098</v>
      </c>
      <c r="X71" s="3" t="s">
        <v>79</v>
      </c>
      <c r="Y71" s="3" t="s">
        <v>1099</v>
      </c>
      <c r="Z71" s="3" t="s">
        <v>1100</v>
      </c>
      <c r="AA71" s="3" t="s">
        <v>1101</v>
      </c>
      <c r="AB71" s="3" t="s">
        <v>1102</v>
      </c>
      <c r="AC71" s="3" t="s">
        <v>79</v>
      </c>
      <c r="AD71" s="3" t="s">
        <v>1103</v>
      </c>
      <c r="AE71" s="3" t="s">
        <v>1104</v>
      </c>
      <c r="AF71" s="3" t="s">
        <v>79</v>
      </c>
      <c r="AG71" s="3" t="s">
        <v>79</v>
      </c>
      <c r="AH71" s="3" t="s">
        <v>79</v>
      </c>
      <c r="AI71" s="3" t="s">
        <v>79</v>
      </c>
      <c r="AJ71" s="3">
        <v>6.0</v>
      </c>
      <c r="AK71" s="3">
        <v>0.0</v>
      </c>
      <c r="AL71" s="3">
        <v>0.0</v>
      </c>
      <c r="AM71" s="3" t="s">
        <v>79</v>
      </c>
      <c r="AN71" s="3" t="s">
        <v>79</v>
      </c>
      <c r="AO71" s="3" t="s">
        <v>79</v>
      </c>
      <c r="AP71" s="3" t="s">
        <v>79</v>
      </c>
      <c r="AQ71" s="3" t="s">
        <v>79</v>
      </c>
      <c r="AR71" s="3" t="s">
        <v>79</v>
      </c>
      <c r="AS71" s="3" t="s">
        <v>79</v>
      </c>
      <c r="AT71" s="3" t="s">
        <v>79</v>
      </c>
      <c r="AU71" s="3" t="s">
        <v>79</v>
      </c>
      <c r="AV71" s="3" t="s">
        <v>79</v>
      </c>
      <c r="AW71" s="3" t="s">
        <v>79</v>
      </c>
      <c r="AX71" s="3">
        <v>2010.0</v>
      </c>
      <c r="AY71" s="3">
        <v>32.0</v>
      </c>
      <c r="AZ71" s="3" t="s">
        <v>79</v>
      </c>
      <c r="BA71" s="3" t="s">
        <v>79</v>
      </c>
      <c r="BB71" s="3" t="s">
        <v>79</v>
      </c>
      <c r="BC71" s="3" t="s">
        <v>79</v>
      </c>
      <c r="BD71" s="3" t="s">
        <v>79</v>
      </c>
      <c r="BE71" s="3">
        <v>289.0</v>
      </c>
      <c r="BF71" s="3" t="s">
        <v>1105</v>
      </c>
      <c r="BG71" s="3" t="s">
        <v>79</v>
      </c>
      <c r="BH71" s="3" t="s">
        <v>79</v>
      </c>
      <c r="BI71" s="3" t="s">
        <v>79</v>
      </c>
      <c r="BJ71" s="3" t="s">
        <v>79</v>
      </c>
      <c r="BK71" s="3" t="s">
        <v>79</v>
      </c>
      <c r="BL71" s="3" t="s">
        <v>79</v>
      </c>
      <c r="BM71" s="3" t="s">
        <v>79</v>
      </c>
      <c r="BN71" s="3" t="s">
        <v>79</v>
      </c>
      <c r="BO71" s="3" t="s">
        <v>139</v>
      </c>
      <c r="BP71" s="3" t="s">
        <v>79</v>
      </c>
      <c r="BQ71" s="3" t="s">
        <v>79</v>
      </c>
      <c r="BR71" s="3" t="s">
        <v>79</v>
      </c>
      <c r="BS71" s="3" t="s">
        <v>79</v>
      </c>
      <c r="BT71" s="3" t="s">
        <v>79</v>
      </c>
      <c r="BU71" s="3" t="s">
        <v>95</v>
      </c>
      <c r="BV71" s="3" t="s">
        <v>1106</v>
      </c>
      <c r="BW71" s="3" t="str">
        <f>HYPERLINK("https%3A%2F%2Fwww.webofscience.com%2Fwos%2Fwoscc%2Ffull-record%2FWOS:000307744700074","View Full Record in Web of Science")</f>
        <v>View Full Record in Web of Science</v>
      </c>
    </row>
    <row r="72" ht="12.75" customHeight="1">
      <c r="A72" s="5" t="s">
        <v>1006</v>
      </c>
      <c r="B72" s="10"/>
      <c r="C72" s="1">
        <v>8.0</v>
      </c>
      <c r="D72" s="3" t="s">
        <v>77</v>
      </c>
      <c r="E72" s="3" t="s">
        <v>1107</v>
      </c>
      <c r="F72" s="3" t="s">
        <v>79</v>
      </c>
      <c r="G72" s="3" t="s">
        <v>1108</v>
      </c>
      <c r="H72" s="3" t="s">
        <v>79</v>
      </c>
      <c r="I72" s="3" t="s">
        <v>1109</v>
      </c>
      <c r="J72" s="3" t="s">
        <v>79</v>
      </c>
      <c r="K72" s="3" t="s">
        <v>79</v>
      </c>
      <c r="L72" s="3" t="s">
        <v>1110</v>
      </c>
      <c r="M72" s="3" t="s">
        <v>1111</v>
      </c>
      <c r="N72" s="3" t="s">
        <v>1038</v>
      </c>
      <c r="O72" s="3" t="s">
        <v>79</v>
      </c>
      <c r="P72" s="3" t="s">
        <v>79</v>
      </c>
      <c r="Q72" s="3" t="s">
        <v>84</v>
      </c>
      <c r="R72" s="3" t="s">
        <v>79</v>
      </c>
      <c r="S72" s="3" t="s">
        <v>79</v>
      </c>
      <c r="T72" s="3" t="s">
        <v>79</v>
      </c>
      <c r="U72" s="3" t="s">
        <v>79</v>
      </c>
      <c r="V72" s="3" t="s">
        <v>79</v>
      </c>
      <c r="W72" s="3" t="s">
        <v>1112</v>
      </c>
      <c r="X72" s="3" t="s">
        <v>1113</v>
      </c>
      <c r="Y72" s="3" t="s">
        <v>1114</v>
      </c>
      <c r="Z72" s="3" t="s">
        <v>1115</v>
      </c>
      <c r="AA72" s="3" t="s">
        <v>1116</v>
      </c>
      <c r="AB72" s="3" t="s">
        <v>1117</v>
      </c>
      <c r="AC72" s="3" t="s">
        <v>1118</v>
      </c>
      <c r="AD72" s="3" t="s">
        <v>79</v>
      </c>
      <c r="AE72" s="3" t="s">
        <v>79</v>
      </c>
      <c r="AF72" s="3" t="s">
        <v>79</v>
      </c>
      <c r="AG72" s="3" t="s">
        <v>79</v>
      </c>
      <c r="AH72" s="3" t="s">
        <v>79</v>
      </c>
      <c r="AI72" s="3" t="s">
        <v>79</v>
      </c>
      <c r="AJ72" s="3">
        <v>20.0</v>
      </c>
      <c r="AK72" s="3">
        <v>1.0</v>
      </c>
      <c r="AL72" s="3">
        <v>1.0</v>
      </c>
      <c r="AM72" s="3" t="s">
        <v>79</v>
      </c>
      <c r="AN72" s="3" t="s">
        <v>79</v>
      </c>
      <c r="AO72" s="3" t="s">
        <v>79</v>
      </c>
      <c r="AP72" s="3" t="s">
        <v>79</v>
      </c>
      <c r="AQ72" s="3" t="s">
        <v>79</v>
      </c>
      <c r="AR72" s="3" t="s">
        <v>79</v>
      </c>
      <c r="AS72" s="3" t="s">
        <v>79</v>
      </c>
      <c r="AT72" s="3" t="s">
        <v>79</v>
      </c>
      <c r="AU72" s="3" t="s">
        <v>79</v>
      </c>
      <c r="AV72" s="3" t="s">
        <v>79</v>
      </c>
      <c r="AW72" s="3" t="s">
        <v>79</v>
      </c>
      <c r="AX72" s="3">
        <v>2018.0</v>
      </c>
      <c r="AY72" s="3">
        <v>10989.0</v>
      </c>
      <c r="AZ72" s="3" t="s">
        <v>79</v>
      </c>
      <c r="BA72" s="3" t="s">
        <v>79</v>
      </c>
      <c r="BB72" s="3" t="s">
        <v>79</v>
      </c>
      <c r="BC72" s="3" t="s">
        <v>79</v>
      </c>
      <c r="BD72" s="3" t="s">
        <v>79</v>
      </c>
      <c r="BE72" s="3">
        <v>206.0</v>
      </c>
      <c r="BF72" s="3">
        <v>216.0</v>
      </c>
      <c r="BG72" s="3" t="s">
        <v>79</v>
      </c>
      <c r="BH72" s="3" t="s">
        <v>1119</v>
      </c>
      <c r="BI72" s="8" t="str">
        <f>HYPERLINK("http://dx.doi.org/10.1007/978-3-030-00563-4_20","http://dx.doi.org/10.1007/978-3-030-00563-4_20")</f>
        <v>http://dx.doi.org/10.1007/978-3-030-00563-4_20</v>
      </c>
      <c r="BJ72" s="3" t="s">
        <v>79</v>
      </c>
      <c r="BK72" s="3" t="s">
        <v>79</v>
      </c>
      <c r="BL72" s="3" t="s">
        <v>79</v>
      </c>
      <c r="BM72" s="3" t="s">
        <v>79</v>
      </c>
      <c r="BN72" s="3" t="s">
        <v>79</v>
      </c>
      <c r="BO72" s="3" t="s">
        <v>1120</v>
      </c>
      <c r="BP72" s="3" t="s">
        <v>79</v>
      </c>
      <c r="BQ72" s="3" t="s">
        <v>79</v>
      </c>
      <c r="BR72" s="3" t="s">
        <v>79</v>
      </c>
      <c r="BS72" s="3" t="s">
        <v>79</v>
      </c>
      <c r="BT72" s="3" t="s">
        <v>79</v>
      </c>
      <c r="BU72" s="3" t="s">
        <v>95</v>
      </c>
      <c r="BV72" s="3" t="s">
        <v>1121</v>
      </c>
      <c r="BW72" s="3" t="str">
        <f>HYPERLINK("https%3A%2F%2Fwww.webofscience.com%2Fwos%2Fwoscc%2Ffull-record%2FWOS:000865938200020","View Full Record in Web of Science")</f>
        <v>View Full Record in Web of Science</v>
      </c>
    </row>
    <row r="73" ht="12.75" customHeight="1">
      <c r="A73" s="5" t="s">
        <v>1006</v>
      </c>
      <c r="B73" s="10"/>
      <c r="C73" s="1">
        <v>9.0</v>
      </c>
      <c r="D73" s="3" t="s">
        <v>77</v>
      </c>
      <c r="E73" s="3" t="s">
        <v>1122</v>
      </c>
      <c r="F73" s="3" t="s">
        <v>79</v>
      </c>
      <c r="G73" s="3" t="s">
        <v>79</v>
      </c>
      <c r="H73" s="3" t="s">
        <v>80</v>
      </c>
      <c r="I73" s="3" t="s">
        <v>1123</v>
      </c>
      <c r="J73" s="3" t="s">
        <v>79</v>
      </c>
      <c r="K73" s="3" t="s">
        <v>79</v>
      </c>
      <c r="L73" s="3" t="s">
        <v>1124</v>
      </c>
      <c r="M73" s="3" t="s">
        <v>1125</v>
      </c>
      <c r="N73" s="3" t="s">
        <v>79</v>
      </c>
      <c r="O73" s="3" t="s">
        <v>79</v>
      </c>
      <c r="P73" s="3" t="s">
        <v>79</v>
      </c>
      <c r="Q73" s="3" t="s">
        <v>84</v>
      </c>
      <c r="R73" s="3" t="s">
        <v>79</v>
      </c>
      <c r="S73" s="3" t="s">
        <v>79</v>
      </c>
      <c r="T73" s="3" t="s">
        <v>79</v>
      </c>
      <c r="U73" s="3" t="s">
        <v>79</v>
      </c>
      <c r="V73" s="3" t="s">
        <v>79</v>
      </c>
      <c r="W73" s="3" t="s">
        <v>1126</v>
      </c>
      <c r="X73" s="3" t="s">
        <v>1127</v>
      </c>
      <c r="Y73" s="3" t="s">
        <v>1128</v>
      </c>
      <c r="Z73" s="3" t="s">
        <v>1129</v>
      </c>
      <c r="AA73" s="3" t="s">
        <v>1130</v>
      </c>
      <c r="AB73" s="3" t="s">
        <v>1131</v>
      </c>
      <c r="AC73" s="3" t="s">
        <v>1132</v>
      </c>
      <c r="AD73" s="3" t="s">
        <v>1133</v>
      </c>
      <c r="AE73" s="3" t="s">
        <v>1134</v>
      </c>
      <c r="AF73" s="3" t="s">
        <v>79</v>
      </c>
      <c r="AG73" s="3" t="s">
        <v>79</v>
      </c>
      <c r="AH73" s="3" t="s">
        <v>79</v>
      </c>
      <c r="AI73" s="3" t="s">
        <v>79</v>
      </c>
      <c r="AJ73" s="3">
        <v>20.0</v>
      </c>
      <c r="AK73" s="3">
        <v>13.0</v>
      </c>
      <c r="AL73" s="3">
        <v>13.0</v>
      </c>
      <c r="AM73" s="3" t="s">
        <v>79</v>
      </c>
      <c r="AN73" s="3" t="s">
        <v>79</v>
      </c>
      <c r="AO73" s="3" t="s">
        <v>79</v>
      </c>
      <c r="AP73" s="3" t="s">
        <v>79</v>
      </c>
      <c r="AQ73" s="3" t="s">
        <v>79</v>
      </c>
      <c r="AR73" s="3" t="s">
        <v>79</v>
      </c>
      <c r="AS73" s="3" t="s">
        <v>79</v>
      </c>
      <c r="AT73" s="3" t="s">
        <v>79</v>
      </c>
      <c r="AU73" s="3" t="s">
        <v>79</v>
      </c>
      <c r="AV73" s="3" t="s">
        <v>79</v>
      </c>
      <c r="AW73" s="3" t="s">
        <v>79</v>
      </c>
      <c r="AX73" s="3">
        <v>2018.0</v>
      </c>
      <c r="AY73" s="3" t="s">
        <v>79</v>
      </c>
      <c r="AZ73" s="3" t="s">
        <v>79</v>
      </c>
      <c r="BA73" s="3" t="s">
        <v>79</v>
      </c>
      <c r="BB73" s="3" t="s">
        <v>79</v>
      </c>
      <c r="BC73" s="3" t="s">
        <v>79</v>
      </c>
      <c r="BD73" s="3" t="s">
        <v>79</v>
      </c>
      <c r="BE73" s="3" t="s">
        <v>79</v>
      </c>
      <c r="BF73" s="3" t="s">
        <v>79</v>
      </c>
      <c r="BG73" s="3" t="s">
        <v>79</v>
      </c>
      <c r="BH73" s="3" t="s">
        <v>79</v>
      </c>
      <c r="BI73" s="3" t="s">
        <v>79</v>
      </c>
      <c r="BJ73" s="3" t="s">
        <v>79</v>
      </c>
      <c r="BK73" s="3" t="s">
        <v>79</v>
      </c>
      <c r="BL73" s="3" t="s">
        <v>79</v>
      </c>
      <c r="BM73" s="3" t="s">
        <v>79</v>
      </c>
      <c r="BN73" s="3" t="s">
        <v>79</v>
      </c>
      <c r="BO73" s="3" t="s">
        <v>275</v>
      </c>
      <c r="BP73" s="3" t="s">
        <v>79</v>
      </c>
      <c r="BQ73" s="3" t="s">
        <v>79</v>
      </c>
      <c r="BR73" s="3" t="s">
        <v>79</v>
      </c>
      <c r="BS73" s="3" t="s">
        <v>79</v>
      </c>
      <c r="BT73" s="3" t="s">
        <v>79</v>
      </c>
      <c r="BU73" s="3" t="s">
        <v>95</v>
      </c>
      <c r="BV73" s="3" t="s">
        <v>1135</v>
      </c>
      <c r="BW73" s="3" t="str">
        <f>HYPERLINK("https%3A%2F%2Fwww.webofscience.com%2Fwos%2Fwoscc%2Ffull-record%2FWOS:000493071300056","View Full Record in Web of Science")</f>
        <v>View Full Record in Web of Science</v>
      </c>
    </row>
    <row r="74" ht="12.75" customHeight="1">
      <c r="A74" s="5" t="s">
        <v>1006</v>
      </c>
      <c r="B74" s="10"/>
      <c r="C74" s="1">
        <v>7.0</v>
      </c>
      <c r="D74" s="3" t="s">
        <v>185</v>
      </c>
      <c r="E74" s="3" t="s">
        <v>1136</v>
      </c>
      <c r="F74" s="3" t="s">
        <v>79</v>
      </c>
      <c r="G74" s="3" t="s">
        <v>79</v>
      </c>
      <c r="H74" s="3" t="s">
        <v>79</v>
      </c>
      <c r="I74" s="3" t="s">
        <v>1137</v>
      </c>
      <c r="J74" s="3" t="s">
        <v>79</v>
      </c>
      <c r="K74" s="3" t="s">
        <v>79</v>
      </c>
      <c r="L74" s="3" t="s">
        <v>1138</v>
      </c>
      <c r="M74" s="3" t="s">
        <v>1139</v>
      </c>
      <c r="N74" s="3" t="s">
        <v>79</v>
      </c>
      <c r="O74" s="3" t="s">
        <v>79</v>
      </c>
      <c r="P74" s="3" t="s">
        <v>79</v>
      </c>
      <c r="Q74" s="3" t="s">
        <v>190</v>
      </c>
      <c r="R74" s="3" t="s">
        <v>79</v>
      </c>
      <c r="S74" s="3" t="s">
        <v>79</v>
      </c>
      <c r="T74" s="3" t="s">
        <v>79</v>
      </c>
      <c r="U74" s="3" t="s">
        <v>79</v>
      </c>
      <c r="V74" s="3" t="s">
        <v>79</v>
      </c>
      <c r="W74" s="3" t="s">
        <v>1140</v>
      </c>
      <c r="X74" s="3" t="s">
        <v>1141</v>
      </c>
      <c r="Y74" s="3" t="s">
        <v>1142</v>
      </c>
      <c r="Z74" s="3" t="s">
        <v>1143</v>
      </c>
      <c r="AA74" s="3" t="s">
        <v>1144</v>
      </c>
      <c r="AB74" s="3" t="s">
        <v>1145</v>
      </c>
      <c r="AC74" s="3" t="s">
        <v>1146</v>
      </c>
      <c r="AD74" s="3" t="s">
        <v>79</v>
      </c>
      <c r="AE74" s="3" t="s">
        <v>79</v>
      </c>
      <c r="AF74" s="3" t="s">
        <v>79</v>
      </c>
      <c r="AG74" s="3" t="s">
        <v>79</v>
      </c>
      <c r="AH74" s="3" t="s">
        <v>79</v>
      </c>
      <c r="AI74" s="3" t="s">
        <v>79</v>
      </c>
      <c r="AJ74" s="3">
        <v>20.0</v>
      </c>
      <c r="AK74" s="3">
        <v>6.0</v>
      </c>
      <c r="AL74" s="3">
        <v>9.0</v>
      </c>
      <c r="AM74" s="3" t="s">
        <v>79</v>
      </c>
      <c r="AN74" s="3" t="s">
        <v>79</v>
      </c>
      <c r="AO74" s="3" t="s">
        <v>79</v>
      </c>
      <c r="AP74" s="3" t="s">
        <v>79</v>
      </c>
      <c r="AQ74" s="3" t="s">
        <v>79</v>
      </c>
      <c r="AR74" s="3" t="s">
        <v>79</v>
      </c>
      <c r="AS74" s="3" t="s">
        <v>79</v>
      </c>
      <c r="AT74" s="3" t="s">
        <v>79</v>
      </c>
      <c r="AU74" s="3" t="s">
        <v>79</v>
      </c>
      <c r="AV74" s="3" t="s">
        <v>79</v>
      </c>
      <c r="AW74" s="3" t="s">
        <v>1147</v>
      </c>
      <c r="AX74" s="3">
        <v>2020.0</v>
      </c>
      <c r="AY74" s="3">
        <v>79.0</v>
      </c>
      <c r="AZ74" s="3" t="s">
        <v>1148</v>
      </c>
      <c r="BA74" s="3" t="s">
        <v>79</v>
      </c>
      <c r="BB74" s="3" t="s">
        <v>79</v>
      </c>
      <c r="BC74" s="3" t="s">
        <v>79</v>
      </c>
      <c r="BD74" s="3" t="s">
        <v>79</v>
      </c>
      <c r="BE74" s="3">
        <v>10327.0</v>
      </c>
      <c r="BF74" s="3">
        <v>10340.0</v>
      </c>
      <c r="BG74" s="3" t="s">
        <v>79</v>
      </c>
      <c r="BH74" s="3" t="s">
        <v>1149</v>
      </c>
      <c r="BI74" s="8" t="str">
        <f>HYPERLINK("http://dx.doi.org/10.1007/s11042-019-7607-3","http://dx.doi.org/10.1007/s11042-019-7607-3")</f>
        <v>http://dx.doi.org/10.1007/s11042-019-7607-3</v>
      </c>
      <c r="BJ74" s="3" t="s">
        <v>79</v>
      </c>
      <c r="BK74" s="3" t="s">
        <v>79</v>
      </c>
      <c r="BL74" s="3" t="s">
        <v>79</v>
      </c>
      <c r="BM74" s="3" t="s">
        <v>79</v>
      </c>
      <c r="BN74" s="3" t="s">
        <v>79</v>
      </c>
      <c r="BO74" s="3" t="s">
        <v>152</v>
      </c>
      <c r="BP74" s="3" t="s">
        <v>79</v>
      </c>
      <c r="BQ74" s="3" t="s">
        <v>79</v>
      </c>
      <c r="BR74" s="3" t="s">
        <v>79</v>
      </c>
      <c r="BS74" s="3" t="s">
        <v>79</v>
      </c>
      <c r="BT74" s="3" t="s">
        <v>79</v>
      </c>
      <c r="BU74" s="3" t="s">
        <v>95</v>
      </c>
      <c r="BV74" s="3" t="s">
        <v>1150</v>
      </c>
      <c r="BW74" s="3" t="str">
        <f>HYPERLINK("https%3A%2F%2Fwww.webofscience.com%2Fwos%2Fwoscc%2Ffull-record%2FWOS:000534781600032","View Full Record in Web of Science")</f>
        <v>View Full Record in Web of Science</v>
      </c>
    </row>
    <row r="75" ht="12.75" customHeight="1">
      <c r="A75" s="5" t="s">
        <v>1006</v>
      </c>
      <c r="B75" s="10"/>
      <c r="C75" s="1">
        <v>9.0</v>
      </c>
      <c r="D75" s="3" t="s">
        <v>77</v>
      </c>
      <c r="E75" s="3" t="s">
        <v>1151</v>
      </c>
      <c r="F75" s="3" t="s">
        <v>79</v>
      </c>
      <c r="G75" s="3" t="s">
        <v>79</v>
      </c>
      <c r="H75" s="3" t="s">
        <v>80</v>
      </c>
      <c r="I75" s="3" t="s">
        <v>1152</v>
      </c>
      <c r="J75" s="3" t="s">
        <v>79</v>
      </c>
      <c r="K75" s="3" t="s">
        <v>79</v>
      </c>
      <c r="L75" s="3" t="s">
        <v>1153</v>
      </c>
      <c r="M75" s="3" t="s">
        <v>1154</v>
      </c>
      <c r="N75" s="3" t="s">
        <v>79</v>
      </c>
      <c r="O75" s="3" t="s">
        <v>79</v>
      </c>
      <c r="P75" s="3" t="s">
        <v>79</v>
      </c>
      <c r="Q75" s="3" t="s">
        <v>84</v>
      </c>
      <c r="R75" s="3" t="s">
        <v>79</v>
      </c>
      <c r="S75" s="3" t="s">
        <v>79</v>
      </c>
      <c r="T75" s="3" t="s">
        <v>79</v>
      </c>
      <c r="U75" s="3" t="s">
        <v>79</v>
      </c>
      <c r="V75" s="3" t="s">
        <v>79</v>
      </c>
      <c r="W75" s="3" t="s">
        <v>1155</v>
      </c>
      <c r="X75" s="3" t="s">
        <v>79</v>
      </c>
      <c r="Y75" s="3" t="s">
        <v>1156</v>
      </c>
      <c r="Z75" s="3" t="s">
        <v>1157</v>
      </c>
      <c r="AA75" s="3" t="s">
        <v>79</v>
      </c>
      <c r="AB75" s="3" t="s">
        <v>1158</v>
      </c>
      <c r="AC75" s="3" t="s">
        <v>79</v>
      </c>
      <c r="AD75" s="3" t="s">
        <v>1159</v>
      </c>
      <c r="AE75" s="3" t="s">
        <v>79</v>
      </c>
      <c r="AF75" s="3" t="s">
        <v>79</v>
      </c>
      <c r="AG75" s="3" t="s">
        <v>79</v>
      </c>
      <c r="AH75" s="3" t="s">
        <v>79</v>
      </c>
      <c r="AI75" s="3" t="s">
        <v>79</v>
      </c>
      <c r="AJ75" s="3">
        <v>16.0</v>
      </c>
      <c r="AK75" s="3">
        <v>5.0</v>
      </c>
      <c r="AL75" s="3">
        <v>5.0</v>
      </c>
      <c r="AM75" s="3" t="s">
        <v>79</v>
      </c>
      <c r="AN75" s="3" t="s">
        <v>79</v>
      </c>
      <c r="AO75" s="3" t="s">
        <v>79</v>
      </c>
      <c r="AP75" s="3" t="s">
        <v>79</v>
      </c>
      <c r="AQ75" s="3" t="s">
        <v>79</v>
      </c>
      <c r="AR75" s="3" t="s">
        <v>79</v>
      </c>
      <c r="AS75" s="3" t="s">
        <v>79</v>
      </c>
      <c r="AT75" s="3" t="s">
        <v>79</v>
      </c>
      <c r="AU75" s="3" t="s">
        <v>79</v>
      </c>
      <c r="AV75" s="3" t="s">
        <v>79</v>
      </c>
      <c r="AW75" s="3" t="s">
        <v>79</v>
      </c>
      <c r="AX75" s="3">
        <v>2022.0</v>
      </c>
      <c r="AY75" s="3" t="s">
        <v>79</v>
      </c>
      <c r="AZ75" s="3" t="s">
        <v>79</v>
      </c>
      <c r="BA75" s="3" t="s">
        <v>79</v>
      </c>
      <c r="BB75" s="3" t="s">
        <v>79</v>
      </c>
      <c r="BC75" s="3" t="s">
        <v>79</v>
      </c>
      <c r="BD75" s="3" t="s">
        <v>79</v>
      </c>
      <c r="BE75" s="3" t="s">
        <v>79</v>
      </c>
      <c r="BF75" s="3" t="s">
        <v>79</v>
      </c>
      <c r="BG75" s="3" t="s">
        <v>79</v>
      </c>
      <c r="BH75" s="3" t="s">
        <v>1160</v>
      </c>
      <c r="BI75" s="8" t="str">
        <f>HYPERLINK("http://dx.doi.org/10.1109/BHI56158.2022.9926806","http://dx.doi.org/10.1109/BHI56158.2022.9926806")</f>
        <v>http://dx.doi.org/10.1109/BHI56158.2022.9926806</v>
      </c>
      <c r="BJ75" s="3" t="s">
        <v>79</v>
      </c>
      <c r="BK75" s="3" t="s">
        <v>79</v>
      </c>
      <c r="BL75" s="3" t="s">
        <v>79</v>
      </c>
      <c r="BM75" s="3" t="s">
        <v>79</v>
      </c>
      <c r="BN75" s="3" t="s">
        <v>79</v>
      </c>
      <c r="BO75" s="3" t="s">
        <v>1161</v>
      </c>
      <c r="BP75" s="3" t="s">
        <v>79</v>
      </c>
      <c r="BQ75" s="3" t="s">
        <v>79</v>
      </c>
      <c r="BR75" s="3" t="s">
        <v>79</v>
      </c>
      <c r="BS75" s="3" t="s">
        <v>79</v>
      </c>
      <c r="BT75" s="3" t="s">
        <v>79</v>
      </c>
      <c r="BU75" s="3" t="s">
        <v>95</v>
      </c>
      <c r="BV75" s="3" t="s">
        <v>1162</v>
      </c>
      <c r="BW75" s="3" t="str">
        <f>HYPERLINK("https%3A%2F%2Fwww.webofscience.com%2Fwos%2Fwoscc%2Ffull-record%2FWOS:000895865900022","View Full Record in Web of Science")</f>
        <v>View Full Record in Web of Science</v>
      </c>
    </row>
    <row r="76" ht="12.75" customHeight="1">
      <c r="A76" s="5" t="s">
        <v>1006</v>
      </c>
      <c r="B76" s="10"/>
      <c r="C76" s="1">
        <v>8.0</v>
      </c>
      <c r="D76" s="3" t="s">
        <v>185</v>
      </c>
      <c r="E76" s="3" t="s">
        <v>1163</v>
      </c>
      <c r="F76" s="3" t="s">
        <v>79</v>
      </c>
      <c r="G76" s="3" t="s">
        <v>79</v>
      </c>
      <c r="H76" s="3" t="s">
        <v>79</v>
      </c>
      <c r="I76" s="3" t="s">
        <v>1164</v>
      </c>
      <c r="J76" s="3" t="s">
        <v>79</v>
      </c>
      <c r="K76" s="3" t="s">
        <v>79</v>
      </c>
      <c r="L76" s="3" t="s">
        <v>1165</v>
      </c>
      <c r="M76" s="3" t="s">
        <v>1166</v>
      </c>
      <c r="N76" s="3" t="s">
        <v>79</v>
      </c>
      <c r="O76" s="3" t="s">
        <v>79</v>
      </c>
      <c r="P76" s="3" t="s">
        <v>79</v>
      </c>
      <c r="Q76" s="3" t="s">
        <v>190</v>
      </c>
      <c r="R76" s="3" t="s">
        <v>79</v>
      </c>
      <c r="S76" s="3" t="s">
        <v>79</v>
      </c>
      <c r="T76" s="3" t="s">
        <v>79</v>
      </c>
      <c r="U76" s="3" t="s">
        <v>79</v>
      </c>
      <c r="V76" s="3" t="s">
        <v>79</v>
      </c>
      <c r="W76" s="3" t="s">
        <v>1167</v>
      </c>
      <c r="X76" s="3" t="s">
        <v>1168</v>
      </c>
      <c r="Y76" s="3" t="s">
        <v>1169</v>
      </c>
      <c r="Z76" s="3" t="s">
        <v>1170</v>
      </c>
      <c r="AA76" s="3" t="s">
        <v>1171</v>
      </c>
      <c r="AB76" s="3" t="s">
        <v>1172</v>
      </c>
      <c r="AC76" s="3" t="s">
        <v>1173</v>
      </c>
      <c r="AD76" s="3" t="s">
        <v>1174</v>
      </c>
      <c r="AE76" s="3" t="s">
        <v>1175</v>
      </c>
      <c r="AF76" s="3" t="s">
        <v>79</v>
      </c>
      <c r="AG76" s="3" t="s">
        <v>79</v>
      </c>
      <c r="AH76" s="3" t="s">
        <v>79</v>
      </c>
      <c r="AI76" s="3" t="s">
        <v>79</v>
      </c>
      <c r="AJ76" s="3">
        <v>56.0</v>
      </c>
      <c r="AK76" s="3">
        <v>3.0</v>
      </c>
      <c r="AL76" s="3">
        <v>3.0</v>
      </c>
      <c r="AM76" s="3" t="s">
        <v>79</v>
      </c>
      <c r="AN76" s="3" t="s">
        <v>79</v>
      </c>
      <c r="AO76" s="3" t="s">
        <v>79</v>
      </c>
      <c r="AP76" s="3" t="s">
        <v>79</v>
      </c>
      <c r="AQ76" s="3" t="s">
        <v>79</v>
      </c>
      <c r="AR76" s="3" t="s">
        <v>79</v>
      </c>
      <c r="AS76" s="3" t="s">
        <v>79</v>
      </c>
      <c r="AT76" s="3" t="s">
        <v>79</v>
      </c>
      <c r="AU76" s="3" t="s">
        <v>79</v>
      </c>
      <c r="AV76" s="3" t="s">
        <v>79</v>
      </c>
      <c r="AW76" s="3" t="s">
        <v>1176</v>
      </c>
      <c r="AX76" s="3">
        <v>2015.0</v>
      </c>
      <c r="AY76" s="3">
        <v>9.0</v>
      </c>
      <c r="AZ76" s="3" t="s">
        <v>79</v>
      </c>
      <c r="BA76" s="3" t="s">
        <v>79</v>
      </c>
      <c r="BB76" s="3" t="s">
        <v>79</v>
      </c>
      <c r="BC76" s="3" t="s">
        <v>79</v>
      </c>
      <c r="BD76" s="3" t="s">
        <v>79</v>
      </c>
      <c r="BE76" s="3" t="s">
        <v>79</v>
      </c>
      <c r="BF76" s="3" t="s">
        <v>79</v>
      </c>
      <c r="BG76" s="3">
        <v>636.0</v>
      </c>
      <c r="BH76" s="3" t="s">
        <v>1177</v>
      </c>
      <c r="BI76" s="8" t="str">
        <f>HYPERLINK("http://dx.doi.org/10.3389/fnhum.2015.00636","http://dx.doi.org/10.3389/fnhum.2015.00636")</f>
        <v>http://dx.doi.org/10.3389/fnhum.2015.00636</v>
      </c>
      <c r="BJ76" s="3" t="s">
        <v>79</v>
      </c>
      <c r="BK76" s="3" t="s">
        <v>79</v>
      </c>
      <c r="BL76" s="3" t="s">
        <v>79</v>
      </c>
      <c r="BM76" s="3" t="s">
        <v>79</v>
      </c>
      <c r="BN76" s="3" t="s">
        <v>79</v>
      </c>
      <c r="BO76" s="3" t="s">
        <v>1178</v>
      </c>
      <c r="BP76" s="3" t="s">
        <v>79</v>
      </c>
      <c r="BQ76" s="3" t="s">
        <v>79</v>
      </c>
      <c r="BR76" s="3" t="s">
        <v>79</v>
      </c>
      <c r="BS76" s="3" t="s">
        <v>79</v>
      </c>
      <c r="BT76" s="3" t="s">
        <v>79</v>
      </c>
      <c r="BU76" s="3" t="s">
        <v>95</v>
      </c>
      <c r="BV76" s="3" t="s">
        <v>1179</v>
      </c>
      <c r="BW76" s="3" t="str">
        <f>HYPERLINK("https%3A%2F%2Fwww.webofscience.com%2Fwos%2Fwoscc%2Ffull-record%2FWOS:000366567200001","View Full Record in Web of Science")</f>
        <v>View Full Record in Web of Science</v>
      </c>
    </row>
    <row r="77" ht="12.75" customHeight="1">
      <c r="A77" s="5" t="s">
        <v>1006</v>
      </c>
      <c r="B77" s="10"/>
      <c r="C77" s="1">
        <v>9.0</v>
      </c>
      <c r="D77" s="3" t="s">
        <v>185</v>
      </c>
      <c r="E77" s="3" t="s">
        <v>1180</v>
      </c>
      <c r="F77" s="3" t="s">
        <v>79</v>
      </c>
      <c r="G77" s="3" t="s">
        <v>79</v>
      </c>
      <c r="H77" s="3" t="s">
        <v>79</v>
      </c>
      <c r="I77" s="3" t="s">
        <v>1181</v>
      </c>
      <c r="J77" s="3" t="s">
        <v>79</v>
      </c>
      <c r="K77" s="3" t="s">
        <v>79</v>
      </c>
      <c r="L77" s="3" t="s">
        <v>1182</v>
      </c>
      <c r="M77" s="3" t="s">
        <v>1183</v>
      </c>
      <c r="N77" s="3" t="s">
        <v>79</v>
      </c>
      <c r="O77" s="3" t="s">
        <v>79</v>
      </c>
      <c r="P77" s="3" t="s">
        <v>79</v>
      </c>
      <c r="Q77" s="3" t="s">
        <v>190</v>
      </c>
      <c r="R77" s="3" t="s">
        <v>79</v>
      </c>
      <c r="S77" s="3" t="s">
        <v>79</v>
      </c>
      <c r="T77" s="3" t="s">
        <v>79</v>
      </c>
      <c r="U77" s="3" t="s">
        <v>79</v>
      </c>
      <c r="V77" s="3" t="s">
        <v>79</v>
      </c>
      <c r="W77" s="3" t="s">
        <v>1184</v>
      </c>
      <c r="X77" s="3" t="s">
        <v>1185</v>
      </c>
      <c r="Y77" s="3" t="s">
        <v>1186</v>
      </c>
      <c r="Z77" s="3" t="s">
        <v>1187</v>
      </c>
      <c r="AA77" s="3" t="s">
        <v>1188</v>
      </c>
      <c r="AB77" s="3" t="s">
        <v>1189</v>
      </c>
      <c r="AC77" s="3" t="s">
        <v>1190</v>
      </c>
      <c r="AD77" s="3" t="s">
        <v>79</v>
      </c>
      <c r="AE77" s="3" t="s">
        <v>1191</v>
      </c>
      <c r="AF77" s="3" t="s">
        <v>79</v>
      </c>
      <c r="AG77" s="3" t="s">
        <v>79</v>
      </c>
      <c r="AH77" s="3" t="s">
        <v>79</v>
      </c>
      <c r="AI77" s="3" t="s">
        <v>79</v>
      </c>
      <c r="AJ77" s="3">
        <v>58.0</v>
      </c>
      <c r="AK77" s="3">
        <v>28.0</v>
      </c>
      <c r="AL77" s="3">
        <v>33.0</v>
      </c>
      <c r="AM77" s="3" t="s">
        <v>79</v>
      </c>
      <c r="AN77" s="3" t="s">
        <v>79</v>
      </c>
      <c r="AO77" s="3" t="s">
        <v>79</v>
      </c>
      <c r="AP77" s="3" t="s">
        <v>79</v>
      </c>
      <c r="AQ77" s="3" t="s">
        <v>79</v>
      </c>
      <c r="AR77" s="3" t="s">
        <v>79</v>
      </c>
      <c r="AS77" s="3" t="s">
        <v>79</v>
      </c>
      <c r="AT77" s="3" t="s">
        <v>79</v>
      </c>
      <c r="AU77" s="3" t="s">
        <v>79</v>
      </c>
      <c r="AV77" s="3" t="s">
        <v>79</v>
      </c>
      <c r="AW77" s="3" t="s">
        <v>79</v>
      </c>
      <c r="AX77" s="3">
        <v>2014.0</v>
      </c>
      <c r="AY77" s="3">
        <v>34.0</v>
      </c>
      <c r="AZ77" s="3">
        <v>2.0</v>
      </c>
      <c r="BA77" s="3" t="s">
        <v>79</v>
      </c>
      <c r="BB77" s="3" t="s">
        <v>79</v>
      </c>
      <c r="BC77" s="3" t="s">
        <v>79</v>
      </c>
      <c r="BD77" s="3" t="s">
        <v>79</v>
      </c>
      <c r="BE77" s="3">
        <v>355.0</v>
      </c>
      <c r="BF77" s="3">
        <v>363.0</v>
      </c>
      <c r="BG77" s="3" t="s">
        <v>79</v>
      </c>
      <c r="BH77" s="3" t="s">
        <v>1192</v>
      </c>
      <c r="BI77" s="8" t="str">
        <f>HYPERLINK("http://dx.doi.org/10.3233/NRE-131039","http://dx.doi.org/10.3233/NRE-131039")</f>
        <v>http://dx.doi.org/10.3233/NRE-131039</v>
      </c>
      <c r="BJ77" s="3" t="s">
        <v>79</v>
      </c>
      <c r="BK77" s="3" t="s">
        <v>79</v>
      </c>
      <c r="BL77" s="3" t="s">
        <v>79</v>
      </c>
      <c r="BM77" s="3" t="s">
        <v>79</v>
      </c>
      <c r="BN77" s="3" t="s">
        <v>79</v>
      </c>
      <c r="BO77" s="3" t="s">
        <v>1193</v>
      </c>
      <c r="BP77" s="3" t="s">
        <v>79</v>
      </c>
      <c r="BQ77" s="3" t="s">
        <v>79</v>
      </c>
      <c r="BR77" s="3" t="s">
        <v>79</v>
      </c>
      <c r="BS77" s="3" t="s">
        <v>79</v>
      </c>
      <c r="BT77" s="3" t="s">
        <v>79</v>
      </c>
      <c r="BU77" s="3" t="s">
        <v>95</v>
      </c>
      <c r="BV77" s="3" t="s">
        <v>1194</v>
      </c>
      <c r="BW77" s="3" t="str">
        <f>HYPERLINK("https%3A%2F%2Fwww.webofscience.com%2Fwos%2Fwoscc%2Ffull-record%2FWOS:000335326300017","View Full Record in Web of Science")</f>
        <v>View Full Record in Web of Science</v>
      </c>
    </row>
    <row r="78" ht="12.75" customHeight="1">
      <c r="A78" s="5" t="s">
        <v>1006</v>
      </c>
      <c r="B78" s="10"/>
      <c r="C78" s="1">
        <v>9.0</v>
      </c>
      <c r="D78" s="3" t="s">
        <v>1195</v>
      </c>
      <c r="E78" s="3" t="s">
        <v>1196</v>
      </c>
      <c r="F78" s="3" t="s">
        <v>79</v>
      </c>
      <c r="G78" s="3" t="s">
        <v>1197</v>
      </c>
      <c r="H78" s="3" t="s">
        <v>79</v>
      </c>
      <c r="I78" s="3" t="s">
        <v>1198</v>
      </c>
      <c r="J78" s="3" t="s">
        <v>79</v>
      </c>
      <c r="K78" s="3" t="s">
        <v>79</v>
      </c>
      <c r="L78" s="3" t="s">
        <v>1199</v>
      </c>
      <c r="M78" s="3" t="s">
        <v>1200</v>
      </c>
      <c r="N78" s="3" t="s">
        <v>1201</v>
      </c>
      <c r="O78" s="3" t="s">
        <v>79</v>
      </c>
      <c r="P78" s="3" t="s">
        <v>79</v>
      </c>
      <c r="Q78" s="3" t="s">
        <v>1202</v>
      </c>
      <c r="R78" s="3" t="s">
        <v>79</v>
      </c>
      <c r="S78" s="3" t="s">
        <v>79</v>
      </c>
      <c r="T78" s="3" t="s">
        <v>79</v>
      </c>
      <c r="U78" s="3" t="s">
        <v>79</v>
      </c>
      <c r="V78" s="3" t="s">
        <v>79</v>
      </c>
      <c r="W78" s="3" t="s">
        <v>1203</v>
      </c>
      <c r="X78" s="3" t="s">
        <v>1204</v>
      </c>
      <c r="Y78" s="3" t="s">
        <v>1205</v>
      </c>
      <c r="Z78" s="3" t="s">
        <v>1206</v>
      </c>
      <c r="AA78" s="3" t="s">
        <v>1207</v>
      </c>
      <c r="AB78" s="3" t="s">
        <v>1208</v>
      </c>
      <c r="AC78" s="3" t="s">
        <v>1209</v>
      </c>
      <c r="AD78" s="3" t="s">
        <v>79</v>
      </c>
      <c r="AE78" s="3" t="s">
        <v>1210</v>
      </c>
      <c r="AF78" s="3" t="s">
        <v>79</v>
      </c>
      <c r="AG78" s="3" t="s">
        <v>79</v>
      </c>
      <c r="AH78" s="3" t="s">
        <v>79</v>
      </c>
      <c r="AI78" s="3" t="s">
        <v>79</v>
      </c>
      <c r="AJ78" s="3">
        <v>58.0</v>
      </c>
      <c r="AK78" s="3">
        <v>152.0</v>
      </c>
      <c r="AL78" s="3">
        <v>175.0</v>
      </c>
      <c r="AM78" s="3" t="s">
        <v>79</v>
      </c>
      <c r="AN78" s="3" t="s">
        <v>79</v>
      </c>
      <c r="AO78" s="3" t="s">
        <v>79</v>
      </c>
      <c r="AP78" s="3" t="s">
        <v>79</v>
      </c>
      <c r="AQ78" s="3" t="s">
        <v>79</v>
      </c>
      <c r="AR78" s="3" t="s">
        <v>79</v>
      </c>
      <c r="AS78" s="3" t="s">
        <v>79</v>
      </c>
      <c r="AT78" s="3" t="s">
        <v>79</v>
      </c>
      <c r="AU78" s="3" t="s">
        <v>79</v>
      </c>
      <c r="AV78" s="3" t="s">
        <v>79</v>
      </c>
      <c r="AW78" s="3" t="s">
        <v>79</v>
      </c>
      <c r="AX78" s="3">
        <v>2006.0</v>
      </c>
      <c r="AY78" s="3">
        <v>159.0</v>
      </c>
      <c r="AZ78" s="3" t="s">
        <v>79</v>
      </c>
      <c r="BA78" s="3" t="s">
        <v>79</v>
      </c>
      <c r="BB78" s="3" t="s">
        <v>79</v>
      </c>
      <c r="BC78" s="3" t="s">
        <v>79</v>
      </c>
      <c r="BD78" s="3" t="s">
        <v>79</v>
      </c>
      <c r="BE78" s="3">
        <v>393.0</v>
      </c>
      <c r="BF78" s="3">
        <v>409.0</v>
      </c>
      <c r="BG78" s="3" t="s">
        <v>79</v>
      </c>
      <c r="BH78" s="3" t="s">
        <v>1211</v>
      </c>
      <c r="BI78" s="8" t="str">
        <f>HYPERLINK("http://dx.doi.org/10.1016/S0079-6123(06)59025-9","http://dx.doi.org/10.1016/S0079-6123(06)59025-9")</f>
        <v>http://dx.doi.org/10.1016/S0079-6123(06)59025-9</v>
      </c>
      <c r="BJ78" s="3" t="s">
        <v>79</v>
      </c>
      <c r="BK78" s="3" t="s">
        <v>79</v>
      </c>
      <c r="BL78" s="3" t="s">
        <v>79</v>
      </c>
      <c r="BM78" s="3" t="s">
        <v>79</v>
      </c>
      <c r="BN78" s="3" t="s">
        <v>79</v>
      </c>
      <c r="BO78" s="3" t="s">
        <v>202</v>
      </c>
      <c r="BP78" s="3" t="s">
        <v>79</v>
      </c>
      <c r="BQ78" s="3" t="s">
        <v>79</v>
      </c>
      <c r="BR78" s="3" t="s">
        <v>79</v>
      </c>
      <c r="BS78" s="3" t="s">
        <v>79</v>
      </c>
      <c r="BT78" s="3" t="s">
        <v>79</v>
      </c>
      <c r="BU78" s="3" t="s">
        <v>95</v>
      </c>
      <c r="BV78" s="3" t="s">
        <v>1212</v>
      </c>
      <c r="BW78" s="3" t="str">
        <f>HYPERLINK("https%3A%2F%2Fwww.webofscience.com%2Fwos%2Fwoscc%2Ffull-record%2FWOS:000247003900025","View Full Record in Web of Science")</f>
        <v>View Full Record in Web of Science</v>
      </c>
    </row>
    <row r="79" ht="12.75" customHeight="1">
      <c r="A79" s="5" t="s">
        <v>1006</v>
      </c>
      <c r="B79" s="10"/>
      <c r="C79" s="1">
        <v>8.0</v>
      </c>
      <c r="D79" s="3" t="s">
        <v>185</v>
      </c>
      <c r="E79" s="3" t="s">
        <v>1213</v>
      </c>
      <c r="F79" s="3" t="s">
        <v>79</v>
      </c>
      <c r="G79" s="3" t="s">
        <v>79</v>
      </c>
      <c r="H79" s="3" t="s">
        <v>79</v>
      </c>
      <c r="I79" s="3" t="s">
        <v>1214</v>
      </c>
      <c r="J79" s="3" t="s">
        <v>79</v>
      </c>
      <c r="K79" s="3" t="s">
        <v>79</v>
      </c>
      <c r="L79" s="3" t="s">
        <v>1215</v>
      </c>
      <c r="M79" s="3" t="s">
        <v>234</v>
      </c>
      <c r="N79" s="3" t="s">
        <v>79</v>
      </c>
      <c r="O79" s="3" t="s">
        <v>79</v>
      </c>
      <c r="P79" s="3" t="s">
        <v>79</v>
      </c>
      <c r="Q79" s="3" t="s">
        <v>190</v>
      </c>
      <c r="R79" s="3" t="s">
        <v>79</v>
      </c>
      <c r="S79" s="3" t="s">
        <v>79</v>
      </c>
      <c r="T79" s="3" t="s">
        <v>79</v>
      </c>
      <c r="U79" s="3" t="s">
        <v>79</v>
      </c>
      <c r="V79" s="3" t="s">
        <v>79</v>
      </c>
      <c r="W79" s="3" t="s">
        <v>1216</v>
      </c>
      <c r="X79" s="3" t="s">
        <v>1217</v>
      </c>
      <c r="Y79" s="3" t="s">
        <v>1218</v>
      </c>
      <c r="Z79" s="3" t="s">
        <v>1219</v>
      </c>
      <c r="AA79" s="3" t="s">
        <v>1220</v>
      </c>
      <c r="AB79" s="3" t="s">
        <v>1221</v>
      </c>
      <c r="AC79" s="3" t="s">
        <v>1222</v>
      </c>
      <c r="AD79" s="3" t="s">
        <v>1223</v>
      </c>
      <c r="AE79" s="3" t="s">
        <v>1224</v>
      </c>
      <c r="AF79" s="3" t="s">
        <v>79</v>
      </c>
      <c r="AG79" s="3" t="s">
        <v>79</v>
      </c>
      <c r="AH79" s="3" t="s">
        <v>79</v>
      </c>
      <c r="AI79" s="3" t="s">
        <v>79</v>
      </c>
      <c r="AJ79" s="3">
        <v>34.0</v>
      </c>
      <c r="AK79" s="3">
        <v>8.0</v>
      </c>
      <c r="AL79" s="3">
        <v>9.0</v>
      </c>
      <c r="AM79" s="3" t="s">
        <v>79</v>
      </c>
      <c r="AN79" s="3" t="s">
        <v>79</v>
      </c>
      <c r="AO79" s="3" t="s">
        <v>79</v>
      </c>
      <c r="AP79" s="3" t="s">
        <v>79</v>
      </c>
      <c r="AQ79" s="3" t="s">
        <v>79</v>
      </c>
      <c r="AR79" s="3" t="s">
        <v>79</v>
      </c>
      <c r="AS79" s="3" t="s">
        <v>79</v>
      </c>
      <c r="AT79" s="3" t="s">
        <v>79</v>
      </c>
      <c r="AU79" s="3" t="s">
        <v>79</v>
      </c>
      <c r="AV79" s="3" t="s">
        <v>79</v>
      </c>
      <c r="AW79" s="3" t="s">
        <v>482</v>
      </c>
      <c r="AX79" s="3">
        <v>2022.0</v>
      </c>
      <c r="AY79" s="3">
        <v>22.0</v>
      </c>
      <c r="AZ79" s="3">
        <v>24.0</v>
      </c>
      <c r="BA79" s="3" t="s">
        <v>79</v>
      </c>
      <c r="BB79" s="3" t="s">
        <v>79</v>
      </c>
      <c r="BC79" s="3" t="s">
        <v>79</v>
      </c>
      <c r="BD79" s="3" t="s">
        <v>79</v>
      </c>
      <c r="BE79" s="3" t="s">
        <v>79</v>
      </c>
      <c r="BF79" s="3" t="s">
        <v>79</v>
      </c>
      <c r="BG79" s="3">
        <v>9788.0</v>
      </c>
      <c r="BH79" s="3" t="s">
        <v>1225</v>
      </c>
      <c r="BI79" s="8" t="str">
        <f>HYPERLINK("http://dx.doi.org/10.3390/s22249788","http://dx.doi.org/10.3390/s22249788")</f>
        <v>http://dx.doi.org/10.3390/s22249788</v>
      </c>
      <c r="BJ79" s="3" t="s">
        <v>79</v>
      </c>
      <c r="BK79" s="3" t="s">
        <v>79</v>
      </c>
      <c r="BL79" s="3" t="s">
        <v>79</v>
      </c>
      <c r="BM79" s="3" t="s">
        <v>79</v>
      </c>
      <c r="BN79" s="3" t="s">
        <v>79</v>
      </c>
      <c r="BO79" s="3" t="s">
        <v>246</v>
      </c>
      <c r="BP79" s="3" t="s">
        <v>79</v>
      </c>
      <c r="BQ79" s="3" t="s">
        <v>79</v>
      </c>
      <c r="BR79" s="3" t="s">
        <v>79</v>
      </c>
      <c r="BS79" s="3" t="s">
        <v>79</v>
      </c>
      <c r="BT79" s="3" t="s">
        <v>79</v>
      </c>
      <c r="BU79" s="3" t="s">
        <v>95</v>
      </c>
      <c r="BV79" s="3" t="s">
        <v>1226</v>
      </c>
      <c r="BW79" s="3" t="str">
        <f>HYPERLINK("https%3A%2F%2Fwww.webofscience.com%2Fwos%2Fwoscc%2Ffull-record%2FWOS:000902761900001","View Full Record in Web of Science")</f>
        <v>View Full Record in Web of Science</v>
      </c>
    </row>
    <row r="80" ht="12.75" customHeight="1">
      <c r="A80" s="5" t="s">
        <v>1006</v>
      </c>
      <c r="B80" s="10"/>
      <c r="C80" s="1">
        <v>9.0</v>
      </c>
      <c r="D80" s="3" t="s">
        <v>185</v>
      </c>
      <c r="E80" s="3" t="s">
        <v>1227</v>
      </c>
      <c r="F80" s="3" t="s">
        <v>79</v>
      </c>
      <c r="G80" s="3" t="s">
        <v>79</v>
      </c>
      <c r="H80" s="3" t="s">
        <v>79</v>
      </c>
      <c r="I80" s="3" t="s">
        <v>1228</v>
      </c>
      <c r="J80" s="3" t="s">
        <v>79</v>
      </c>
      <c r="K80" s="3" t="s">
        <v>79</v>
      </c>
      <c r="L80" s="3" t="s">
        <v>1229</v>
      </c>
      <c r="M80" s="3" t="s">
        <v>1079</v>
      </c>
      <c r="N80" s="3" t="s">
        <v>79</v>
      </c>
      <c r="O80" s="3" t="s">
        <v>79</v>
      </c>
      <c r="P80" s="3" t="s">
        <v>79</v>
      </c>
      <c r="Q80" s="3" t="s">
        <v>190</v>
      </c>
      <c r="R80" s="3" t="s">
        <v>79</v>
      </c>
      <c r="S80" s="3" t="s">
        <v>79</v>
      </c>
      <c r="T80" s="3" t="s">
        <v>79</v>
      </c>
      <c r="U80" s="3" t="s">
        <v>79</v>
      </c>
      <c r="V80" s="3" t="s">
        <v>79</v>
      </c>
      <c r="W80" s="3" t="s">
        <v>1230</v>
      </c>
      <c r="X80" s="3" t="s">
        <v>1231</v>
      </c>
      <c r="Y80" s="3" t="s">
        <v>1232</v>
      </c>
      <c r="Z80" s="3" t="s">
        <v>1233</v>
      </c>
      <c r="AA80" s="3" t="s">
        <v>1234</v>
      </c>
      <c r="AB80" s="3" t="s">
        <v>1235</v>
      </c>
      <c r="AC80" s="3" t="s">
        <v>1236</v>
      </c>
      <c r="AD80" s="3" t="s">
        <v>1237</v>
      </c>
      <c r="AE80" s="3" t="s">
        <v>1238</v>
      </c>
      <c r="AF80" s="3" t="s">
        <v>79</v>
      </c>
      <c r="AG80" s="3" t="s">
        <v>79</v>
      </c>
      <c r="AH80" s="3" t="s">
        <v>79</v>
      </c>
      <c r="AI80" s="3" t="s">
        <v>79</v>
      </c>
      <c r="AJ80" s="3">
        <v>36.0</v>
      </c>
      <c r="AK80" s="3">
        <v>25.0</v>
      </c>
      <c r="AL80" s="3">
        <v>29.0</v>
      </c>
      <c r="AM80" s="3" t="s">
        <v>79</v>
      </c>
      <c r="AN80" s="3" t="s">
        <v>79</v>
      </c>
      <c r="AO80" s="3" t="s">
        <v>79</v>
      </c>
      <c r="AP80" s="3" t="s">
        <v>79</v>
      </c>
      <c r="AQ80" s="3" t="s">
        <v>79</v>
      </c>
      <c r="AR80" s="3" t="s">
        <v>79</v>
      </c>
      <c r="AS80" s="3" t="s">
        <v>79</v>
      </c>
      <c r="AT80" s="3" t="s">
        <v>79</v>
      </c>
      <c r="AU80" s="3" t="s">
        <v>79</v>
      </c>
      <c r="AV80" s="3" t="s">
        <v>79</v>
      </c>
      <c r="AW80" s="3" t="s">
        <v>1239</v>
      </c>
      <c r="AX80" s="3">
        <v>2020.0</v>
      </c>
      <c r="AY80" s="3">
        <v>9.0</v>
      </c>
      <c r="AZ80" s="3">
        <v>10.0</v>
      </c>
      <c r="BA80" s="3" t="s">
        <v>79</v>
      </c>
      <c r="BB80" s="3" t="s">
        <v>79</v>
      </c>
      <c r="BC80" s="3" t="s">
        <v>79</v>
      </c>
      <c r="BD80" s="3" t="s">
        <v>79</v>
      </c>
      <c r="BE80" s="3" t="s">
        <v>79</v>
      </c>
      <c r="BF80" s="3" t="s">
        <v>79</v>
      </c>
      <c r="BG80" s="3">
        <v>1584.0</v>
      </c>
      <c r="BH80" s="3" t="s">
        <v>1240</v>
      </c>
      <c r="BI80" s="8" t="str">
        <f>HYPERLINK("http://dx.doi.org/10.3390/electronics9101584","http://dx.doi.org/10.3390/electronics9101584")</f>
        <v>http://dx.doi.org/10.3390/electronics9101584</v>
      </c>
      <c r="BJ80" s="3" t="s">
        <v>79</v>
      </c>
      <c r="BK80" s="3" t="s">
        <v>79</v>
      </c>
      <c r="BL80" s="3" t="s">
        <v>79</v>
      </c>
      <c r="BM80" s="3" t="s">
        <v>79</v>
      </c>
      <c r="BN80" s="3" t="s">
        <v>79</v>
      </c>
      <c r="BO80" s="3" t="s">
        <v>1090</v>
      </c>
      <c r="BP80" s="3" t="s">
        <v>79</v>
      </c>
      <c r="BQ80" s="3" t="s">
        <v>79</v>
      </c>
      <c r="BR80" s="3" t="s">
        <v>79</v>
      </c>
      <c r="BS80" s="3" t="s">
        <v>79</v>
      </c>
      <c r="BT80" s="3" t="s">
        <v>79</v>
      </c>
      <c r="BU80" s="3" t="s">
        <v>95</v>
      </c>
      <c r="BV80" s="3" t="s">
        <v>1241</v>
      </c>
      <c r="BW80" s="3" t="str">
        <f>HYPERLINK("https%3A%2F%2Fwww.webofscience.com%2Fwos%2Fwoscc%2Ffull-record%2FWOS:000586144400001","View Full Record in Web of Science")</f>
        <v>View Full Record in Web of Science</v>
      </c>
    </row>
    <row r="81" ht="12.75" customHeight="1">
      <c r="A81" s="5" t="s">
        <v>1006</v>
      </c>
      <c r="B81" s="10"/>
      <c r="C81" s="1">
        <v>10.0</v>
      </c>
      <c r="D81" s="3" t="s">
        <v>185</v>
      </c>
      <c r="E81" s="3" t="s">
        <v>1242</v>
      </c>
      <c r="F81" s="3" t="s">
        <v>79</v>
      </c>
      <c r="G81" s="3" t="s">
        <v>79</v>
      </c>
      <c r="H81" s="3" t="s">
        <v>79</v>
      </c>
      <c r="I81" s="3" t="s">
        <v>1243</v>
      </c>
      <c r="J81" s="3" t="s">
        <v>79</v>
      </c>
      <c r="K81" s="3" t="s">
        <v>79</v>
      </c>
      <c r="L81" s="3" t="s">
        <v>1244</v>
      </c>
      <c r="M81" s="3" t="s">
        <v>1245</v>
      </c>
      <c r="N81" s="3" t="s">
        <v>79</v>
      </c>
      <c r="O81" s="3" t="s">
        <v>79</v>
      </c>
      <c r="P81" s="3" t="s">
        <v>79</v>
      </c>
      <c r="Q81" s="3" t="s">
        <v>190</v>
      </c>
      <c r="R81" s="3" t="s">
        <v>79</v>
      </c>
      <c r="S81" s="3" t="s">
        <v>79</v>
      </c>
      <c r="T81" s="3" t="s">
        <v>79</v>
      </c>
      <c r="U81" s="3" t="s">
        <v>79</v>
      </c>
      <c r="V81" s="3" t="s">
        <v>79</v>
      </c>
      <c r="W81" s="3" t="s">
        <v>1246</v>
      </c>
      <c r="X81" s="3" t="s">
        <v>1247</v>
      </c>
      <c r="Y81" s="3" t="s">
        <v>1248</v>
      </c>
      <c r="Z81" s="3" t="s">
        <v>1249</v>
      </c>
      <c r="AA81" s="3" t="s">
        <v>1250</v>
      </c>
      <c r="AB81" s="3" t="s">
        <v>1251</v>
      </c>
      <c r="AC81" s="3" t="s">
        <v>1252</v>
      </c>
      <c r="AD81" s="3" t="s">
        <v>1253</v>
      </c>
      <c r="AE81" s="3" t="s">
        <v>79</v>
      </c>
      <c r="AF81" s="3" t="s">
        <v>79</v>
      </c>
      <c r="AG81" s="3" t="s">
        <v>79</v>
      </c>
      <c r="AH81" s="3" t="s">
        <v>79</v>
      </c>
      <c r="AI81" s="3" t="s">
        <v>79</v>
      </c>
      <c r="AJ81" s="3">
        <v>58.0</v>
      </c>
      <c r="AK81" s="3">
        <v>0.0</v>
      </c>
      <c r="AL81" s="3">
        <v>0.0</v>
      </c>
      <c r="AM81" s="3" t="s">
        <v>79</v>
      </c>
      <c r="AN81" s="3" t="s">
        <v>79</v>
      </c>
      <c r="AO81" s="3" t="s">
        <v>79</v>
      </c>
      <c r="AP81" s="3" t="s">
        <v>79</v>
      </c>
      <c r="AQ81" s="3" t="s">
        <v>79</v>
      </c>
      <c r="AR81" s="3" t="s">
        <v>79</v>
      </c>
      <c r="AS81" s="3" t="s">
        <v>79</v>
      </c>
      <c r="AT81" s="3" t="s">
        <v>79</v>
      </c>
      <c r="AU81" s="3" t="s">
        <v>79</v>
      </c>
      <c r="AV81" s="3" t="s">
        <v>79</v>
      </c>
      <c r="AW81" s="3" t="s">
        <v>1239</v>
      </c>
      <c r="AX81" s="3">
        <v>2023.0</v>
      </c>
      <c r="AY81" s="3">
        <v>45.0</v>
      </c>
      <c r="AZ81" s="3">
        <v>10.0</v>
      </c>
      <c r="BA81" s="3" t="s">
        <v>79</v>
      </c>
      <c r="BB81" s="3" t="s">
        <v>79</v>
      </c>
      <c r="BC81" s="3" t="s">
        <v>79</v>
      </c>
      <c r="BD81" s="3" t="s">
        <v>79</v>
      </c>
      <c r="BE81" s="3" t="s">
        <v>79</v>
      </c>
      <c r="BF81" s="3" t="s">
        <v>79</v>
      </c>
      <c r="BG81" s="3" t="s">
        <v>79</v>
      </c>
      <c r="BH81" s="3" t="s">
        <v>1254</v>
      </c>
      <c r="BI81" s="8" t="str">
        <f>HYPERLINK("http://dx.doi.org/10.11999/JEIT221449","http://dx.doi.org/10.11999/JEIT221449")</f>
        <v>http://dx.doi.org/10.11999/JEIT221449</v>
      </c>
      <c r="BJ81" s="3" t="s">
        <v>79</v>
      </c>
      <c r="BK81" s="3" t="s">
        <v>79</v>
      </c>
      <c r="BL81" s="3" t="s">
        <v>79</v>
      </c>
      <c r="BM81" s="3" t="s">
        <v>79</v>
      </c>
      <c r="BN81" s="3" t="s">
        <v>79</v>
      </c>
      <c r="BO81" s="3" t="s">
        <v>139</v>
      </c>
      <c r="BP81" s="3" t="s">
        <v>79</v>
      </c>
      <c r="BQ81" s="3" t="s">
        <v>79</v>
      </c>
      <c r="BR81" s="3" t="s">
        <v>79</v>
      </c>
      <c r="BS81" s="3" t="s">
        <v>79</v>
      </c>
      <c r="BT81" s="3" t="s">
        <v>79</v>
      </c>
      <c r="BU81" s="3" t="s">
        <v>95</v>
      </c>
      <c r="BV81" s="3" t="s">
        <v>1255</v>
      </c>
      <c r="BW81" s="3" t="str">
        <f>HYPERLINK("https%3A%2F%2Fwww.webofscience.com%2Fwos%2Fwoscc%2Ffull-record%2FWOS:001485676600003","View Full Record in Web of Science")</f>
        <v>View Full Record in Web of Science</v>
      </c>
    </row>
    <row r="82" ht="12.75" customHeight="1">
      <c r="A82" s="5" t="s">
        <v>1256</v>
      </c>
      <c r="B82" s="9" t="s">
        <v>1257</v>
      </c>
      <c r="C82" s="5">
        <v>10.0</v>
      </c>
      <c r="D82" s="3" t="s">
        <v>185</v>
      </c>
      <c r="E82" s="3" t="s">
        <v>1258</v>
      </c>
      <c r="F82" s="3" t="s">
        <v>79</v>
      </c>
      <c r="G82" s="3" t="s">
        <v>79</v>
      </c>
      <c r="H82" s="3" t="s">
        <v>79</v>
      </c>
      <c r="I82" s="3" t="s">
        <v>1259</v>
      </c>
      <c r="J82" s="3" t="s">
        <v>79</v>
      </c>
      <c r="K82" s="3" t="s">
        <v>79</v>
      </c>
      <c r="L82" s="3" t="s">
        <v>1260</v>
      </c>
      <c r="M82" s="3" t="s">
        <v>1261</v>
      </c>
      <c r="N82" s="3" t="s">
        <v>79</v>
      </c>
      <c r="O82" s="3" t="s">
        <v>79</v>
      </c>
      <c r="P82" s="3" t="s">
        <v>79</v>
      </c>
      <c r="Q82" s="3" t="s">
        <v>190</v>
      </c>
      <c r="R82" s="3" t="s">
        <v>79</v>
      </c>
      <c r="S82" s="3" t="s">
        <v>79</v>
      </c>
      <c r="T82" s="3" t="s">
        <v>79</v>
      </c>
      <c r="U82" s="3" t="s">
        <v>79</v>
      </c>
      <c r="V82" s="3" t="s">
        <v>79</v>
      </c>
      <c r="W82" s="3" t="s">
        <v>79</v>
      </c>
      <c r="X82" s="3" t="s">
        <v>1262</v>
      </c>
      <c r="Y82" s="3" t="s">
        <v>1263</v>
      </c>
      <c r="Z82" s="3" t="s">
        <v>1264</v>
      </c>
      <c r="AA82" s="3" t="s">
        <v>1265</v>
      </c>
      <c r="AB82" s="3" t="s">
        <v>1266</v>
      </c>
      <c r="AC82" s="3" t="s">
        <v>1267</v>
      </c>
      <c r="AD82" s="3" t="s">
        <v>1268</v>
      </c>
      <c r="AE82" s="3" t="s">
        <v>1269</v>
      </c>
      <c r="AF82" s="3" t="s">
        <v>79</v>
      </c>
      <c r="AG82" s="3" t="s">
        <v>79</v>
      </c>
      <c r="AH82" s="3" t="s">
        <v>79</v>
      </c>
      <c r="AI82" s="3" t="s">
        <v>79</v>
      </c>
      <c r="AJ82" s="3">
        <v>25.0</v>
      </c>
      <c r="AK82" s="3">
        <v>39.0</v>
      </c>
      <c r="AL82" s="3">
        <v>47.0</v>
      </c>
      <c r="AM82" s="3" t="s">
        <v>79</v>
      </c>
      <c r="AN82" s="3" t="s">
        <v>79</v>
      </c>
      <c r="AO82" s="3" t="s">
        <v>79</v>
      </c>
      <c r="AP82" s="3" t="s">
        <v>79</v>
      </c>
      <c r="AQ82" s="3" t="s">
        <v>79</v>
      </c>
      <c r="AR82" s="3" t="s">
        <v>79</v>
      </c>
      <c r="AS82" s="3" t="s">
        <v>79</v>
      </c>
      <c r="AT82" s="3" t="s">
        <v>79</v>
      </c>
      <c r="AU82" s="3" t="s">
        <v>79</v>
      </c>
      <c r="AV82" s="3" t="s">
        <v>79</v>
      </c>
      <c r="AW82" s="3" t="s">
        <v>1270</v>
      </c>
      <c r="AX82" s="3">
        <v>2010.0</v>
      </c>
      <c r="AY82" s="3">
        <v>11.0</v>
      </c>
      <c r="AZ82" s="3" t="s">
        <v>79</v>
      </c>
      <c r="BA82" s="3" t="s">
        <v>79</v>
      </c>
      <c r="BB82" s="3" t="s">
        <v>79</v>
      </c>
      <c r="BC82" s="3" t="s">
        <v>79</v>
      </c>
      <c r="BD82" s="3" t="s">
        <v>79</v>
      </c>
      <c r="BE82" s="3" t="s">
        <v>79</v>
      </c>
      <c r="BF82" s="3" t="s">
        <v>79</v>
      </c>
      <c r="BG82" s="3">
        <v>117.0</v>
      </c>
      <c r="BH82" s="3" t="s">
        <v>1271</v>
      </c>
      <c r="BI82" s="8" t="str">
        <f>HYPERLINK("http://dx.doi.org/10.1186/1471-2202-11-117","http://dx.doi.org/10.1186/1471-2202-11-117")</f>
        <v>http://dx.doi.org/10.1186/1471-2202-11-117</v>
      </c>
      <c r="BJ82" s="3" t="s">
        <v>79</v>
      </c>
      <c r="BK82" s="3" t="s">
        <v>79</v>
      </c>
      <c r="BL82" s="3" t="s">
        <v>79</v>
      </c>
      <c r="BM82" s="3" t="s">
        <v>79</v>
      </c>
      <c r="BN82" s="3" t="s">
        <v>79</v>
      </c>
      <c r="BO82" s="3" t="s">
        <v>202</v>
      </c>
      <c r="BP82" s="3" t="s">
        <v>79</v>
      </c>
      <c r="BQ82" s="3" t="s">
        <v>79</v>
      </c>
      <c r="BR82" s="3" t="s">
        <v>79</v>
      </c>
      <c r="BS82" s="3" t="s">
        <v>79</v>
      </c>
      <c r="BT82" s="3" t="s">
        <v>79</v>
      </c>
      <c r="BU82" s="3" t="s">
        <v>95</v>
      </c>
      <c r="BV82" s="3" t="s">
        <v>1272</v>
      </c>
      <c r="BW82" s="3" t="str">
        <f>HYPERLINK("https%3A%2F%2Fwww.webofscience.com%2Fwos%2Fwoscc%2Ffull-record%2FWOS:000283243300001","View Full Record in Web of Science")</f>
        <v>View Full Record in Web of Science</v>
      </c>
    </row>
    <row r="83" ht="12.75" customHeight="1">
      <c r="A83" s="5" t="s">
        <v>1256</v>
      </c>
      <c r="B83" s="10"/>
      <c r="C83" s="5">
        <v>9.5</v>
      </c>
      <c r="D83" s="3" t="s">
        <v>77</v>
      </c>
      <c r="E83" s="3" t="s">
        <v>1273</v>
      </c>
      <c r="F83" s="3" t="s">
        <v>79</v>
      </c>
      <c r="G83" s="3" t="s">
        <v>1274</v>
      </c>
      <c r="H83" s="3" t="s">
        <v>79</v>
      </c>
      <c r="I83" s="3" t="s">
        <v>1275</v>
      </c>
      <c r="J83" s="3" t="s">
        <v>79</v>
      </c>
      <c r="K83" s="3" t="s">
        <v>79</v>
      </c>
      <c r="L83" s="3" t="s">
        <v>1276</v>
      </c>
      <c r="M83" s="3" t="s">
        <v>1277</v>
      </c>
      <c r="N83" s="3" t="s">
        <v>1278</v>
      </c>
      <c r="O83" s="3" t="s">
        <v>79</v>
      </c>
      <c r="P83" s="3" t="s">
        <v>79</v>
      </c>
      <c r="Q83" s="3" t="s">
        <v>84</v>
      </c>
      <c r="R83" s="3" t="s">
        <v>79</v>
      </c>
      <c r="S83" s="3" t="s">
        <v>79</v>
      </c>
      <c r="T83" s="3" t="s">
        <v>79</v>
      </c>
      <c r="U83" s="3" t="s">
        <v>79</v>
      </c>
      <c r="V83" s="3" t="s">
        <v>79</v>
      </c>
      <c r="W83" s="3" t="s">
        <v>1279</v>
      </c>
      <c r="X83" s="3" t="s">
        <v>236</v>
      </c>
      <c r="Y83" s="3" t="s">
        <v>1280</v>
      </c>
      <c r="Z83" s="3" t="s">
        <v>1281</v>
      </c>
      <c r="AA83" s="3" t="s">
        <v>1282</v>
      </c>
      <c r="AB83" s="3" t="s">
        <v>1283</v>
      </c>
      <c r="AC83" s="3" t="s">
        <v>1284</v>
      </c>
      <c r="AD83" s="3" t="s">
        <v>1285</v>
      </c>
      <c r="AE83" s="3" t="s">
        <v>1286</v>
      </c>
      <c r="AF83" s="3" t="s">
        <v>79</v>
      </c>
      <c r="AG83" s="3" t="s">
        <v>79</v>
      </c>
      <c r="AH83" s="3" t="s">
        <v>79</v>
      </c>
      <c r="AI83" s="3" t="s">
        <v>79</v>
      </c>
      <c r="AJ83" s="3">
        <v>27.0</v>
      </c>
      <c r="AK83" s="3">
        <v>10.0</v>
      </c>
      <c r="AL83" s="3">
        <v>10.0</v>
      </c>
      <c r="AM83" s="3" t="s">
        <v>79</v>
      </c>
      <c r="AN83" s="3" t="s">
        <v>79</v>
      </c>
      <c r="AO83" s="3" t="s">
        <v>79</v>
      </c>
      <c r="AP83" s="3" t="s">
        <v>79</v>
      </c>
      <c r="AQ83" s="3" t="s">
        <v>79</v>
      </c>
      <c r="AR83" s="3" t="s">
        <v>79</v>
      </c>
      <c r="AS83" s="3" t="s">
        <v>79</v>
      </c>
      <c r="AT83" s="3" t="s">
        <v>79</v>
      </c>
      <c r="AU83" s="3" t="s">
        <v>79</v>
      </c>
      <c r="AV83" s="3" t="s">
        <v>79</v>
      </c>
      <c r="AW83" s="3" t="s">
        <v>79</v>
      </c>
      <c r="AX83" s="3">
        <v>2019.0</v>
      </c>
      <c r="AY83" s="3">
        <v>11557.0</v>
      </c>
      <c r="AZ83" s="3" t="s">
        <v>79</v>
      </c>
      <c r="BA83" s="3" t="s">
        <v>79</v>
      </c>
      <c r="BB83" s="3" t="s">
        <v>79</v>
      </c>
      <c r="BC83" s="3" t="s">
        <v>79</v>
      </c>
      <c r="BD83" s="3" t="s">
        <v>79</v>
      </c>
      <c r="BE83" s="3">
        <v>124.0</v>
      </c>
      <c r="BF83" s="3">
        <v>139.0</v>
      </c>
      <c r="BG83" s="3" t="s">
        <v>79</v>
      </c>
      <c r="BH83" s="3" t="s">
        <v>1287</v>
      </c>
      <c r="BI83" s="8" t="str">
        <f>HYPERLINK("http://dx.doi.org/10.1007/978-3-030-22885-9_12","http://dx.doi.org/10.1007/978-3-030-22885-9_12")</f>
        <v>http://dx.doi.org/10.1007/978-3-030-22885-9_12</v>
      </c>
      <c r="BJ83" s="3" t="s">
        <v>79</v>
      </c>
      <c r="BK83" s="3" t="s">
        <v>79</v>
      </c>
      <c r="BL83" s="3" t="s">
        <v>79</v>
      </c>
      <c r="BM83" s="3" t="s">
        <v>79</v>
      </c>
      <c r="BN83" s="3" t="s">
        <v>79</v>
      </c>
      <c r="BO83" s="3" t="s">
        <v>1288</v>
      </c>
      <c r="BP83" s="3" t="s">
        <v>79</v>
      </c>
      <c r="BQ83" s="3" t="s">
        <v>79</v>
      </c>
      <c r="BR83" s="3" t="s">
        <v>79</v>
      </c>
      <c r="BS83" s="3" t="s">
        <v>79</v>
      </c>
      <c r="BT83" s="3" t="s">
        <v>79</v>
      </c>
      <c r="BU83" s="3" t="s">
        <v>95</v>
      </c>
      <c r="BV83" s="3" t="s">
        <v>1289</v>
      </c>
      <c r="BW83" s="3" t="str">
        <f>HYPERLINK("https%3A%2F%2Fwww.webofscience.com%2Fwos%2Fwoscc%2Ffull-record%2FWOS:000657973700012","View Full Record in Web of Science")</f>
        <v>View Full Record in Web of Science</v>
      </c>
    </row>
    <row r="84" ht="12.75" customHeight="1">
      <c r="A84" s="5" t="s">
        <v>1256</v>
      </c>
      <c r="B84" s="10"/>
      <c r="C84" s="5">
        <v>8.0</v>
      </c>
      <c r="D84" s="3" t="s">
        <v>185</v>
      </c>
      <c r="E84" s="3" t="s">
        <v>1290</v>
      </c>
      <c r="F84" s="3" t="s">
        <v>79</v>
      </c>
      <c r="G84" s="3" t="s">
        <v>79</v>
      </c>
      <c r="H84" s="3" t="s">
        <v>79</v>
      </c>
      <c r="I84" s="3" t="s">
        <v>1291</v>
      </c>
      <c r="J84" s="3" t="s">
        <v>79</v>
      </c>
      <c r="K84" s="3" t="s">
        <v>79</v>
      </c>
      <c r="L84" s="3" t="s">
        <v>1292</v>
      </c>
      <c r="M84" s="3" t="s">
        <v>234</v>
      </c>
      <c r="N84" s="3" t="s">
        <v>79</v>
      </c>
      <c r="O84" s="3" t="s">
        <v>79</v>
      </c>
      <c r="P84" s="3" t="s">
        <v>79</v>
      </c>
      <c r="Q84" s="3" t="s">
        <v>1202</v>
      </c>
      <c r="R84" s="3" t="s">
        <v>79</v>
      </c>
      <c r="S84" s="3" t="s">
        <v>79</v>
      </c>
      <c r="T84" s="3" t="s">
        <v>79</v>
      </c>
      <c r="U84" s="3" t="s">
        <v>79</v>
      </c>
      <c r="V84" s="3" t="s">
        <v>79</v>
      </c>
      <c r="W84" s="3" t="s">
        <v>1293</v>
      </c>
      <c r="X84" s="3" t="s">
        <v>1294</v>
      </c>
      <c r="Y84" s="3" t="s">
        <v>1295</v>
      </c>
      <c r="Z84" s="3" t="s">
        <v>1296</v>
      </c>
      <c r="AA84" s="3" t="s">
        <v>1297</v>
      </c>
      <c r="AB84" s="3" t="s">
        <v>1298</v>
      </c>
      <c r="AC84" s="3" t="s">
        <v>1299</v>
      </c>
      <c r="AD84" s="3" t="s">
        <v>1300</v>
      </c>
      <c r="AE84" s="3" t="s">
        <v>1301</v>
      </c>
      <c r="AF84" s="3" t="s">
        <v>79</v>
      </c>
      <c r="AG84" s="3" t="s">
        <v>79</v>
      </c>
      <c r="AH84" s="3" t="s">
        <v>79</v>
      </c>
      <c r="AI84" s="3" t="s">
        <v>79</v>
      </c>
      <c r="AJ84" s="3">
        <v>99.0</v>
      </c>
      <c r="AK84" s="3">
        <v>36.0</v>
      </c>
      <c r="AL84" s="3">
        <v>39.0</v>
      </c>
      <c r="AM84" s="3" t="s">
        <v>79</v>
      </c>
      <c r="AN84" s="3" t="s">
        <v>79</v>
      </c>
      <c r="AO84" s="3" t="s">
        <v>79</v>
      </c>
      <c r="AP84" s="3" t="s">
        <v>79</v>
      </c>
      <c r="AQ84" s="3" t="s">
        <v>79</v>
      </c>
      <c r="AR84" s="3" t="s">
        <v>79</v>
      </c>
      <c r="AS84" s="3" t="s">
        <v>79</v>
      </c>
      <c r="AT84" s="3" t="s">
        <v>79</v>
      </c>
      <c r="AU84" s="3" t="s">
        <v>79</v>
      </c>
      <c r="AV84" s="3" t="s">
        <v>79</v>
      </c>
      <c r="AW84" s="3" t="s">
        <v>497</v>
      </c>
      <c r="AX84" s="3">
        <v>2022.0</v>
      </c>
      <c r="AY84" s="3">
        <v>22.0</v>
      </c>
      <c r="AZ84" s="3">
        <v>15.0</v>
      </c>
      <c r="BA84" s="3" t="s">
        <v>79</v>
      </c>
      <c r="BB84" s="3" t="s">
        <v>79</v>
      </c>
      <c r="BC84" s="3" t="s">
        <v>79</v>
      </c>
      <c r="BD84" s="3" t="s">
        <v>79</v>
      </c>
      <c r="BE84" s="3" t="s">
        <v>79</v>
      </c>
      <c r="BF84" s="3" t="s">
        <v>79</v>
      </c>
      <c r="BG84" s="3">
        <v>5802.0</v>
      </c>
      <c r="BH84" s="3" t="s">
        <v>1302</v>
      </c>
      <c r="BI84" s="8" t="str">
        <f>HYPERLINK("http://dx.doi.org/10.3390/s22155802","http://dx.doi.org/10.3390/s22155802")</f>
        <v>http://dx.doi.org/10.3390/s22155802</v>
      </c>
      <c r="BJ84" s="3" t="s">
        <v>79</v>
      </c>
      <c r="BK84" s="3" t="s">
        <v>79</v>
      </c>
      <c r="BL84" s="3" t="s">
        <v>79</v>
      </c>
      <c r="BM84" s="3" t="s">
        <v>79</v>
      </c>
      <c r="BN84" s="3" t="s">
        <v>79</v>
      </c>
      <c r="BO84" s="3" t="s">
        <v>246</v>
      </c>
      <c r="BP84" s="3" t="s">
        <v>79</v>
      </c>
      <c r="BQ84" s="3" t="s">
        <v>79</v>
      </c>
      <c r="BR84" s="3" t="s">
        <v>79</v>
      </c>
      <c r="BS84" s="3" t="s">
        <v>79</v>
      </c>
      <c r="BT84" s="3" t="s">
        <v>79</v>
      </c>
      <c r="BU84" s="3" t="s">
        <v>95</v>
      </c>
      <c r="BV84" s="3" t="s">
        <v>1303</v>
      </c>
      <c r="BW84" s="3" t="str">
        <f>HYPERLINK("https%3A%2F%2Fwww.webofscience.com%2Fwos%2Fwoscc%2Ffull-record%2FWOS:000839813700001","View Full Record in Web of Science")</f>
        <v>View Full Record in Web of Science</v>
      </c>
    </row>
    <row r="85" ht="12.75" customHeight="1">
      <c r="A85" s="5" t="s">
        <v>1256</v>
      </c>
      <c r="B85" s="10"/>
      <c r="C85" s="5">
        <v>5.0</v>
      </c>
      <c r="D85" s="3" t="s">
        <v>185</v>
      </c>
      <c r="E85" s="3" t="s">
        <v>1304</v>
      </c>
      <c r="F85" s="3" t="s">
        <v>79</v>
      </c>
      <c r="G85" s="3" t="s">
        <v>79</v>
      </c>
      <c r="H85" s="3" t="s">
        <v>79</v>
      </c>
      <c r="I85" s="3" t="s">
        <v>1305</v>
      </c>
      <c r="J85" s="3" t="s">
        <v>79</v>
      </c>
      <c r="K85" s="3" t="s">
        <v>79</v>
      </c>
      <c r="L85" s="3" t="s">
        <v>1306</v>
      </c>
      <c r="M85" s="3" t="s">
        <v>1079</v>
      </c>
      <c r="N85" s="3" t="s">
        <v>79</v>
      </c>
      <c r="O85" s="3" t="s">
        <v>79</v>
      </c>
      <c r="P85" s="3" t="s">
        <v>79</v>
      </c>
      <c r="Q85" s="3" t="s">
        <v>190</v>
      </c>
      <c r="R85" s="3" t="s">
        <v>79</v>
      </c>
      <c r="S85" s="3" t="s">
        <v>79</v>
      </c>
      <c r="T85" s="3" t="s">
        <v>79</v>
      </c>
      <c r="U85" s="3" t="s">
        <v>79</v>
      </c>
      <c r="V85" s="3" t="s">
        <v>79</v>
      </c>
      <c r="W85" s="3" t="s">
        <v>1307</v>
      </c>
      <c r="X85" s="3" t="s">
        <v>1308</v>
      </c>
      <c r="Y85" s="3" t="s">
        <v>1309</v>
      </c>
      <c r="Z85" s="3" t="s">
        <v>1310</v>
      </c>
      <c r="AA85" s="3" t="s">
        <v>1311</v>
      </c>
      <c r="AB85" s="3" t="s">
        <v>1312</v>
      </c>
      <c r="AC85" s="3" t="s">
        <v>1313</v>
      </c>
      <c r="AD85" s="3" t="s">
        <v>79</v>
      </c>
      <c r="AE85" s="3" t="s">
        <v>79</v>
      </c>
      <c r="AF85" s="3" t="s">
        <v>79</v>
      </c>
      <c r="AG85" s="3" t="s">
        <v>79</v>
      </c>
      <c r="AH85" s="3" t="s">
        <v>79</v>
      </c>
      <c r="AI85" s="3" t="s">
        <v>79</v>
      </c>
      <c r="AJ85" s="3">
        <v>63.0</v>
      </c>
      <c r="AK85" s="3">
        <v>0.0</v>
      </c>
      <c r="AL85" s="3">
        <v>0.0</v>
      </c>
      <c r="AM85" s="3" t="s">
        <v>79</v>
      </c>
      <c r="AN85" s="3" t="s">
        <v>79</v>
      </c>
      <c r="AO85" s="3" t="s">
        <v>79</v>
      </c>
      <c r="AP85" s="3" t="s">
        <v>79</v>
      </c>
      <c r="AQ85" s="3" t="s">
        <v>79</v>
      </c>
      <c r="AR85" s="3" t="s">
        <v>79</v>
      </c>
      <c r="AS85" s="3" t="s">
        <v>79</v>
      </c>
      <c r="AT85" s="3" t="s">
        <v>79</v>
      </c>
      <c r="AU85" s="3" t="s">
        <v>79</v>
      </c>
      <c r="AV85" s="3" t="s">
        <v>79</v>
      </c>
      <c r="AW85" s="3" t="s">
        <v>1314</v>
      </c>
      <c r="AX85" s="3">
        <v>2025.0</v>
      </c>
      <c r="AY85" s="3">
        <v>14.0</v>
      </c>
      <c r="AZ85" s="3">
        <v>15.0</v>
      </c>
      <c r="BA85" s="3" t="s">
        <v>79</v>
      </c>
      <c r="BB85" s="3" t="s">
        <v>79</v>
      </c>
      <c r="BC85" s="3" t="s">
        <v>79</v>
      </c>
      <c r="BD85" s="3" t="s">
        <v>79</v>
      </c>
      <c r="BE85" s="3" t="s">
        <v>79</v>
      </c>
      <c r="BF85" s="3" t="s">
        <v>79</v>
      </c>
      <c r="BG85" s="3">
        <v>3106.0</v>
      </c>
      <c r="BH85" s="3" t="s">
        <v>1315</v>
      </c>
      <c r="BI85" s="8" t="str">
        <f>HYPERLINK("http://dx.doi.org/10.3390/electronics14153106","http://dx.doi.org/10.3390/electronics14153106")</f>
        <v>http://dx.doi.org/10.3390/electronics14153106</v>
      </c>
      <c r="BJ85" s="3" t="s">
        <v>79</v>
      </c>
      <c r="BK85" s="3" t="s">
        <v>79</v>
      </c>
      <c r="BL85" s="3" t="s">
        <v>79</v>
      </c>
      <c r="BM85" s="3" t="s">
        <v>79</v>
      </c>
      <c r="BN85" s="3" t="s">
        <v>79</v>
      </c>
      <c r="BO85" s="3" t="s">
        <v>1090</v>
      </c>
      <c r="BP85" s="3" t="s">
        <v>79</v>
      </c>
      <c r="BQ85" s="3" t="s">
        <v>79</v>
      </c>
      <c r="BR85" s="3" t="s">
        <v>79</v>
      </c>
      <c r="BS85" s="3" t="s">
        <v>79</v>
      </c>
      <c r="BT85" s="3" t="s">
        <v>79</v>
      </c>
      <c r="BU85" s="3" t="s">
        <v>95</v>
      </c>
      <c r="BV85" s="3" t="s">
        <v>1316</v>
      </c>
      <c r="BW85" s="3" t="str">
        <f>HYPERLINK("https%3A%2F%2Fwww.webofscience.com%2Fwos%2Fwoscc%2Ffull-record%2FWOS:001550685500001","View Full Record in Web of Science")</f>
        <v>View Full Record in Web of Science</v>
      </c>
    </row>
    <row r="86" ht="12.75" customHeight="1">
      <c r="A86" s="5" t="s">
        <v>1256</v>
      </c>
      <c r="B86" s="10"/>
      <c r="C86" s="5">
        <v>9.0</v>
      </c>
      <c r="D86" s="3" t="s">
        <v>77</v>
      </c>
      <c r="E86" s="3" t="s">
        <v>1317</v>
      </c>
      <c r="F86" s="3" t="s">
        <v>79</v>
      </c>
      <c r="G86" s="3" t="s">
        <v>79</v>
      </c>
      <c r="H86" s="3" t="s">
        <v>80</v>
      </c>
      <c r="I86" s="3" t="s">
        <v>1318</v>
      </c>
      <c r="J86" s="3" t="s">
        <v>79</v>
      </c>
      <c r="K86" s="3" t="s">
        <v>79</v>
      </c>
      <c r="L86" s="3" t="s">
        <v>1319</v>
      </c>
      <c r="M86" s="3" t="s">
        <v>1320</v>
      </c>
      <c r="N86" s="3" t="s">
        <v>79</v>
      </c>
      <c r="O86" s="3" t="s">
        <v>79</v>
      </c>
      <c r="P86" s="3" t="s">
        <v>79</v>
      </c>
      <c r="Q86" s="3" t="s">
        <v>84</v>
      </c>
      <c r="R86" s="3" t="s">
        <v>79</v>
      </c>
      <c r="S86" s="3" t="s">
        <v>79</v>
      </c>
      <c r="T86" s="3" t="s">
        <v>79</v>
      </c>
      <c r="U86" s="3" t="s">
        <v>79</v>
      </c>
      <c r="V86" s="3" t="s">
        <v>79</v>
      </c>
      <c r="W86" s="3" t="s">
        <v>1321</v>
      </c>
      <c r="X86" s="3" t="s">
        <v>1322</v>
      </c>
      <c r="Y86" s="3" t="s">
        <v>1323</v>
      </c>
      <c r="Z86" s="3" t="s">
        <v>1324</v>
      </c>
      <c r="AA86" s="3" t="s">
        <v>1325</v>
      </c>
      <c r="AB86" s="3" t="s">
        <v>1326</v>
      </c>
      <c r="AC86" s="3" t="s">
        <v>1327</v>
      </c>
      <c r="AD86" s="3" t="s">
        <v>1328</v>
      </c>
      <c r="AE86" s="3" t="s">
        <v>79</v>
      </c>
      <c r="AF86" s="3" t="s">
        <v>79</v>
      </c>
      <c r="AG86" s="3" t="s">
        <v>79</v>
      </c>
      <c r="AH86" s="3" t="s">
        <v>79</v>
      </c>
      <c r="AI86" s="3" t="s">
        <v>79</v>
      </c>
      <c r="AJ86" s="3">
        <v>25.0</v>
      </c>
      <c r="AK86" s="3">
        <v>1.0</v>
      </c>
      <c r="AL86" s="3">
        <v>1.0</v>
      </c>
      <c r="AM86" s="3" t="s">
        <v>79</v>
      </c>
      <c r="AN86" s="3" t="s">
        <v>79</v>
      </c>
      <c r="AO86" s="3" t="s">
        <v>79</v>
      </c>
      <c r="AP86" s="3" t="s">
        <v>79</v>
      </c>
      <c r="AQ86" s="3" t="s">
        <v>79</v>
      </c>
      <c r="AR86" s="3" t="s">
        <v>79</v>
      </c>
      <c r="AS86" s="3" t="s">
        <v>79</v>
      </c>
      <c r="AT86" s="3" t="s">
        <v>79</v>
      </c>
      <c r="AU86" s="3" t="s">
        <v>79</v>
      </c>
      <c r="AV86" s="3" t="s">
        <v>79</v>
      </c>
      <c r="AW86" s="3" t="s">
        <v>79</v>
      </c>
      <c r="AX86" s="3">
        <v>2017.0</v>
      </c>
      <c r="AY86" s="3" t="s">
        <v>79</v>
      </c>
      <c r="AZ86" s="3" t="s">
        <v>79</v>
      </c>
      <c r="BA86" s="3" t="s">
        <v>79</v>
      </c>
      <c r="BB86" s="3" t="s">
        <v>79</v>
      </c>
      <c r="BC86" s="3" t="s">
        <v>79</v>
      </c>
      <c r="BD86" s="3" t="s">
        <v>79</v>
      </c>
      <c r="BE86" s="3">
        <v>492.0</v>
      </c>
      <c r="BF86" s="3">
        <v>497.0</v>
      </c>
      <c r="BG86" s="3" t="s">
        <v>79</v>
      </c>
      <c r="BH86" s="3" t="s">
        <v>79</v>
      </c>
      <c r="BI86" s="3" t="s">
        <v>79</v>
      </c>
      <c r="BJ86" s="3" t="s">
        <v>79</v>
      </c>
      <c r="BK86" s="3" t="s">
        <v>79</v>
      </c>
      <c r="BL86" s="3" t="s">
        <v>79</v>
      </c>
      <c r="BM86" s="3" t="s">
        <v>79</v>
      </c>
      <c r="BN86" s="3" t="s">
        <v>79</v>
      </c>
      <c r="BO86" s="3" t="s">
        <v>1329</v>
      </c>
      <c r="BP86" s="3" t="s">
        <v>79</v>
      </c>
      <c r="BQ86" s="3" t="s">
        <v>79</v>
      </c>
      <c r="BR86" s="3" t="s">
        <v>79</v>
      </c>
      <c r="BS86" s="3" t="s">
        <v>79</v>
      </c>
      <c r="BT86" s="3" t="s">
        <v>79</v>
      </c>
      <c r="BU86" s="3" t="s">
        <v>95</v>
      </c>
      <c r="BV86" s="3" t="s">
        <v>1330</v>
      </c>
      <c r="BW86" s="3" t="str">
        <f>HYPERLINK("https%3A%2F%2Fwww.webofscience.com%2Fwos%2Fwoscc%2Ffull-record%2FWOS:000426453700088","View Full Record in Web of Science")</f>
        <v>View Full Record in Web of Science</v>
      </c>
    </row>
    <row r="87" ht="12.75" customHeight="1">
      <c r="A87" s="5" t="s">
        <v>1256</v>
      </c>
      <c r="B87" s="10"/>
      <c r="C87" s="5">
        <v>10.0</v>
      </c>
      <c r="D87" s="3" t="s">
        <v>77</v>
      </c>
      <c r="E87" s="3" t="s">
        <v>1331</v>
      </c>
      <c r="F87" s="3" t="s">
        <v>79</v>
      </c>
      <c r="G87" s="3" t="s">
        <v>79</v>
      </c>
      <c r="H87" s="3" t="s">
        <v>80</v>
      </c>
      <c r="I87" s="3" t="s">
        <v>1332</v>
      </c>
      <c r="J87" s="3" t="s">
        <v>79</v>
      </c>
      <c r="K87" s="3" t="s">
        <v>79</v>
      </c>
      <c r="L87" s="3" t="s">
        <v>1333</v>
      </c>
      <c r="M87" s="3" t="s">
        <v>1334</v>
      </c>
      <c r="N87" s="3" t="s">
        <v>1335</v>
      </c>
      <c r="O87" s="3" t="s">
        <v>79</v>
      </c>
      <c r="P87" s="3" t="s">
        <v>79</v>
      </c>
      <c r="Q87" s="3" t="s">
        <v>84</v>
      </c>
      <c r="R87" s="3" t="s">
        <v>79</v>
      </c>
      <c r="S87" s="3" t="s">
        <v>79</v>
      </c>
      <c r="T87" s="3" t="s">
        <v>79</v>
      </c>
      <c r="U87" s="3" t="s">
        <v>79</v>
      </c>
      <c r="V87" s="3" t="s">
        <v>79</v>
      </c>
      <c r="W87" s="3" t="s">
        <v>1336</v>
      </c>
      <c r="X87" s="3" t="s">
        <v>79</v>
      </c>
      <c r="Y87" s="3" t="s">
        <v>1337</v>
      </c>
      <c r="Z87" s="3" t="s">
        <v>1338</v>
      </c>
      <c r="AA87" s="3" t="s">
        <v>1339</v>
      </c>
      <c r="AB87" s="3" t="s">
        <v>1340</v>
      </c>
      <c r="AC87" s="3" t="s">
        <v>1341</v>
      </c>
      <c r="AD87" s="3" t="s">
        <v>1342</v>
      </c>
      <c r="AE87" s="3" t="s">
        <v>79</v>
      </c>
      <c r="AF87" s="3" t="s">
        <v>79</v>
      </c>
      <c r="AG87" s="3" t="s">
        <v>79</v>
      </c>
      <c r="AH87" s="3" t="s">
        <v>79</v>
      </c>
      <c r="AI87" s="3" t="s">
        <v>79</v>
      </c>
      <c r="AJ87" s="3">
        <v>25.0</v>
      </c>
      <c r="AK87" s="3">
        <v>7.0</v>
      </c>
      <c r="AL87" s="3">
        <v>7.0</v>
      </c>
      <c r="AM87" s="3" t="s">
        <v>79</v>
      </c>
      <c r="AN87" s="3" t="s">
        <v>79</v>
      </c>
      <c r="AO87" s="3" t="s">
        <v>79</v>
      </c>
      <c r="AP87" s="3" t="s">
        <v>79</v>
      </c>
      <c r="AQ87" s="3" t="s">
        <v>79</v>
      </c>
      <c r="AR87" s="3" t="s">
        <v>79</v>
      </c>
      <c r="AS87" s="3" t="s">
        <v>79</v>
      </c>
      <c r="AT87" s="3" t="s">
        <v>79</v>
      </c>
      <c r="AU87" s="3" t="s">
        <v>79</v>
      </c>
      <c r="AV87" s="3" t="s">
        <v>79</v>
      </c>
      <c r="AW87" s="3" t="s">
        <v>79</v>
      </c>
      <c r="AX87" s="3">
        <v>2021.0</v>
      </c>
      <c r="AY87" s="3" t="s">
        <v>79</v>
      </c>
      <c r="AZ87" s="3" t="s">
        <v>79</v>
      </c>
      <c r="BA87" s="3" t="s">
        <v>79</v>
      </c>
      <c r="BB87" s="3" t="s">
        <v>79</v>
      </c>
      <c r="BC87" s="3" t="s">
        <v>79</v>
      </c>
      <c r="BD87" s="3" t="s">
        <v>79</v>
      </c>
      <c r="BE87" s="3">
        <v>521.0</v>
      </c>
      <c r="BF87" s="3">
        <v>524.0</v>
      </c>
      <c r="BG87" s="3" t="s">
        <v>79</v>
      </c>
      <c r="BH87" s="3" t="s">
        <v>1343</v>
      </c>
      <c r="BI87" s="8" t="str">
        <f>HYPERLINK("http://dx.doi.org/10.1109/IS3C50286.2020.00141","http://dx.doi.org/10.1109/IS3C50286.2020.00141")</f>
        <v>http://dx.doi.org/10.1109/IS3C50286.2020.00141</v>
      </c>
      <c r="BJ87" s="3" t="s">
        <v>79</v>
      </c>
      <c r="BK87" s="3" t="s">
        <v>79</v>
      </c>
      <c r="BL87" s="3" t="s">
        <v>79</v>
      </c>
      <c r="BM87" s="3" t="s">
        <v>79</v>
      </c>
      <c r="BN87" s="3" t="s">
        <v>79</v>
      </c>
      <c r="BO87" s="3" t="s">
        <v>275</v>
      </c>
      <c r="BP87" s="3" t="s">
        <v>79</v>
      </c>
      <c r="BQ87" s="3" t="s">
        <v>79</v>
      </c>
      <c r="BR87" s="3" t="s">
        <v>79</v>
      </c>
      <c r="BS87" s="3" t="s">
        <v>79</v>
      </c>
      <c r="BT87" s="3" t="s">
        <v>79</v>
      </c>
      <c r="BU87" s="3" t="s">
        <v>95</v>
      </c>
      <c r="BV87" s="3" t="s">
        <v>1344</v>
      </c>
      <c r="BW87" s="3" t="str">
        <f>HYPERLINK("https%3A%2F%2Fwww.webofscience.com%2Fwos%2Fwoscc%2Ffull-record%2FWOS:000669743300135","View Full Record in Web of Science")</f>
        <v>View Full Record in Web of Science</v>
      </c>
    </row>
    <row r="88" ht="12.75" customHeight="1">
      <c r="A88" s="5" t="s">
        <v>1256</v>
      </c>
      <c r="B88" s="10"/>
      <c r="C88" s="5">
        <v>8.0</v>
      </c>
      <c r="D88" s="3" t="s">
        <v>185</v>
      </c>
      <c r="E88" s="3" t="s">
        <v>1345</v>
      </c>
      <c r="F88" s="3" t="s">
        <v>79</v>
      </c>
      <c r="G88" s="3" t="s">
        <v>79</v>
      </c>
      <c r="H88" s="3" t="s">
        <v>79</v>
      </c>
      <c r="I88" s="3" t="s">
        <v>1346</v>
      </c>
      <c r="J88" s="3" t="s">
        <v>79</v>
      </c>
      <c r="K88" s="3" t="s">
        <v>79</v>
      </c>
      <c r="L88" s="3" t="s">
        <v>1347</v>
      </c>
      <c r="M88" s="3" t="s">
        <v>1348</v>
      </c>
      <c r="N88" s="3" t="s">
        <v>79</v>
      </c>
      <c r="O88" s="3" t="s">
        <v>79</v>
      </c>
      <c r="P88" s="3" t="s">
        <v>79</v>
      </c>
      <c r="Q88" s="3" t="s">
        <v>190</v>
      </c>
      <c r="R88" s="3" t="s">
        <v>79</v>
      </c>
      <c r="S88" s="3" t="s">
        <v>79</v>
      </c>
      <c r="T88" s="3" t="s">
        <v>79</v>
      </c>
      <c r="U88" s="3" t="s">
        <v>79</v>
      </c>
      <c r="V88" s="3" t="s">
        <v>79</v>
      </c>
      <c r="W88" s="3" t="s">
        <v>1349</v>
      </c>
      <c r="X88" s="3" t="s">
        <v>1350</v>
      </c>
      <c r="Y88" s="3" t="s">
        <v>1351</v>
      </c>
      <c r="Z88" s="3" t="s">
        <v>1352</v>
      </c>
      <c r="AA88" s="3" t="s">
        <v>1130</v>
      </c>
      <c r="AB88" s="3" t="s">
        <v>1353</v>
      </c>
      <c r="AC88" s="3" t="s">
        <v>1354</v>
      </c>
      <c r="AD88" s="3" t="s">
        <v>1355</v>
      </c>
      <c r="AE88" s="3" t="s">
        <v>1356</v>
      </c>
      <c r="AF88" s="3" t="s">
        <v>79</v>
      </c>
      <c r="AG88" s="3" t="s">
        <v>79</v>
      </c>
      <c r="AH88" s="3" t="s">
        <v>79</v>
      </c>
      <c r="AI88" s="3" t="s">
        <v>79</v>
      </c>
      <c r="AJ88" s="3">
        <v>30.0</v>
      </c>
      <c r="AK88" s="3">
        <v>20.0</v>
      </c>
      <c r="AL88" s="3">
        <v>22.0</v>
      </c>
      <c r="AM88" s="3" t="s">
        <v>79</v>
      </c>
      <c r="AN88" s="3" t="s">
        <v>79</v>
      </c>
      <c r="AO88" s="3" t="s">
        <v>79</v>
      </c>
      <c r="AP88" s="3" t="s">
        <v>79</v>
      </c>
      <c r="AQ88" s="3" t="s">
        <v>79</v>
      </c>
      <c r="AR88" s="3" t="s">
        <v>79</v>
      </c>
      <c r="AS88" s="3" t="s">
        <v>79</v>
      </c>
      <c r="AT88" s="3" t="s">
        <v>79</v>
      </c>
      <c r="AU88" s="3" t="s">
        <v>79</v>
      </c>
      <c r="AV88" s="3" t="s">
        <v>79</v>
      </c>
      <c r="AW88" s="3" t="s">
        <v>497</v>
      </c>
      <c r="AX88" s="3">
        <v>2019.0</v>
      </c>
      <c r="AY88" s="3">
        <v>39.0</v>
      </c>
      <c r="AZ88" s="3">
        <v>4.0</v>
      </c>
      <c r="BA88" s="3" t="s">
        <v>79</v>
      </c>
      <c r="BB88" s="3" t="s">
        <v>79</v>
      </c>
      <c r="BC88" s="3" t="s">
        <v>79</v>
      </c>
      <c r="BD88" s="3" t="s">
        <v>79</v>
      </c>
      <c r="BE88" s="3">
        <v>508.0</v>
      </c>
      <c r="BF88" s="3">
        <v>522.0</v>
      </c>
      <c r="BG88" s="3" t="s">
        <v>79</v>
      </c>
      <c r="BH88" s="3" t="s">
        <v>1357</v>
      </c>
      <c r="BI88" s="8" t="str">
        <f>HYPERLINK("http://dx.doi.org/10.1007/s40846-018-0431-9","http://dx.doi.org/10.1007/s40846-018-0431-9")</f>
        <v>http://dx.doi.org/10.1007/s40846-018-0431-9</v>
      </c>
      <c r="BJ88" s="3" t="s">
        <v>79</v>
      </c>
      <c r="BK88" s="3" t="s">
        <v>79</v>
      </c>
      <c r="BL88" s="3" t="s">
        <v>79</v>
      </c>
      <c r="BM88" s="3" t="s">
        <v>79</v>
      </c>
      <c r="BN88" s="3" t="s">
        <v>79</v>
      </c>
      <c r="BO88" s="3" t="s">
        <v>139</v>
      </c>
      <c r="BP88" s="3" t="s">
        <v>79</v>
      </c>
      <c r="BQ88" s="3" t="s">
        <v>79</v>
      </c>
      <c r="BR88" s="3" t="s">
        <v>79</v>
      </c>
      <c r="BS88" s="3" t="s">
        <v>79</v>
      </c>
      <c r="BT88" s="3" t="s">
        <v>79</v>
      </c>
      <c r="BU88" s="3" t="s">
        <v>95</v>
      </c>
      <c r="BV88" s="3" t="s">
        <v>1358</v>
      </c>
      <c r="BW88" s="3" t="str">
        <f>HYPERLINK("https%3A%2F%2Fwww.webofscience.com%2Fwos%2Fwoscc%2Ffull-record%2FWOS:000475765600007","View Full Record in Web of Science")</f>
        <v>View Full Record in Web of Science</v>
      </c>
    </row>
    <row r="89" ht="12.75" customHeight="1">
      <c r="A89" s="5" t="s">
        <v>1256</v>
      </c>
      <c r="B89" s="10"/>
      <c r="D89" s="3" t="s">
        <v>185</v>
      </c>
      <c r="E89" s="3" t="s">
        <v>1359</v>
      </c>
      <c r="F89" s="3" t="s">
        <v>79</v>
      </c>
      <c r="G89" s="3" t="s">
        <v>79</v>
      </c>
      <c r="H89" s="3" t="s">
        <v>79</v>
      </c>
      <c r="I89" s="3" t="s">
        <v>1360</v>
      </c>
      <c r="J89" s="3" t="s">
        <v>79</v>
      </c>
      <c r="K89" s="3" t="s">
        <v>79</v>
      </c>
      <c r="L89" s="3" t="s">
        <v>1361</v>
      </c>
      <c r="M89" s="3" t="s">
        <v>1362</v>
      </c>
      <c r="N89" s="3" t="s">
        <v>79</v>
      </c>
      <c r="O89" s="3" t="s">
        <v>79</v>
      </c>
      <c r="P89" s="3" t="s">
        <v>79</v>
      </c>
      <c r="Q89" s="3" t="s">
        <v>190</v>
      </c>
      <c r="R89" s="3" t="s">
        <v>79</v>
      </c>
      <c r="S89" s="3" t="s">
        <v>79</v>
      </c>
      <c r="T89" s="3" t="s">
        <v>79</v>
      </c>
      <c r="U89" s="3" t="s">
        <v>79</v>
      </c>
      <c r="V89" s="3" t="s">
        <v>79</v>
      </c>
      <c r="W89" s="3" t="s">
        <v>1363</v>
      </c>
      <c r="X89" s="3" t="s">
        <v>1364</v>
      </c>
      <c r="Y89" s="3" t="s">
        <v>1365</v>
      </c>
      <c r="Z89" s="3" t="s">
        <v>1366</v>
      </c>
      <c r="AA89" s="3" t="s">
        <v>1367</v>
      </c>
      <c r="AB89" s="3" t="s">
        <v>1368</v>
      </c>
      <c r="AC89" s="3" t="s">
        <v>1369</v>
      </c>
      <c r="AD89" s="3" t="s">
        <v>1370</v>
      </c>
      <c r="AE89" s="3" t="s">
        <v>79</v>
      </c>
      <c r="AF89" s="3" t="s">
        <v>79</v>
      </c>
      <c r="AG89" s="3" t="s">
        <v>79</v>
      </c>
      <c r="AH89" s="3" t="s">
        <v>79</v>
      </c>
      <c r="AI89" s="3" t="s">
        <v>79</v>
      </c>
      <c r="AJ89" s="3">
        <v>39.0</v>
      </c>
      <c r="AK89" s="3">
        <v>3.0</v>
      </c>
      <c r="AL89" s="3">
        <v>3.0</v>
      </c>
      <c r="AM89" s="3" t="s">
        <v>79</v>
      </c>
      <c r="AN89" s="3" t="s">
        <v>79</v>
      </c>
      <c r="AO89" s="3" t="s">
        <v>79</v>
      </c>
      <c r="AP89" s="3" t="s">
        <v>79</v>
      </c>
      <c r="AQ89" s="3" t="s">
        <v>79</v>
      </c>
      <c r="AR89" s="3" t="s">
        <v>79</v>
      </c>
      <c r="AS89" s="3" t="s">
        <v>79</v>
      </c>
      <c r="AT89" s="3" t="s">
        <v>79</v>
      </c>
      <c r="AU89" s="3" t="s">
        <v>79</v>
      </c>
      <c r="AV89" s="3" t="s">
        <v>79</v>
      </c>
      <c r="AW89" s="3" t="s">
        <v>785</v>
      </c>
      <c r="AX89" s="3">
        <v>2022.0</v>
      </c>
      <c r="AY89" s="3">
        <v>19.0</v>
      </c>
      <c r="AZ89" s="3">
        <v>2.0</v>
      </c>
      <c r="BA89" s="3" t="s">
        <v>79</v>
      </c>
      <c r="BB89" s="3" t="s">
        <v>79</v>
      </c>
      <c r="BC89" s="3" t="s">
        <v>79</v>
      </c>
      <c r="BD89" s="3" t="s">
        <v>79</v>
      </c>
      <c r="BE89" s="3">
        <v>62.0</v>
      </c>
      <c r="BF89" s="3">
        <v>72.0</v>
      </c>
      <c r="BG89" s="3" t="s">
        <v>79</v>
      </c>
      <c r="BH89" s="3" t="s">
        <v>1371</v>
      </c>
      <c r="BI89" s="8" t="str">
        <f>HYPERLINK("http://dx.doi.org/10.23919/JCC.2022.02.006","http://dx.doi.org/10.23919/JCC.2022.02.006")</f>
        <v>http://dx.doi.org/10.23919/JCC.2022.02.006</v>
      </c>
      <c r="BJ89" s="3" t="s">
        <v>79</v>
      </c>
      <c r="BK89" s="3" t="s">
        <v>79</v>
      </c>
      <c r="BL89" s="3" t="s">
        <v>79</v>
      </c>
      <c r="BM89" s="3" t="s">
        <v>79</v>
      </c>
      <c r="BN89" s="3" t="s">
        <v>79</v>
      </c>
      <c r="BO89" s="3" t="s">
        <v>1288</v>
      </c>
      <c r="BP89" s="3" t="s">
        <v>79</v>
      </c>
      <c r="BQ89" s="3" t="s">
        <v>79</v>
      </c>
      <c r="BR89" s="3" t="s">
        <v>79</v>
      </c>
      <c r="BS89" s="3" t="s">
        <v>79</v>
      </c>
      <c r="BT89" s="3" t="s">
        <v>79</v>
      </c>
      <c r="BU89" s="3" t="s">
        <v>95</v>
      </c>
      <c r="BV89" s="3" t="s">
        <v>1372</v>
      </c>
      <c r="BW89" s="3" t="str">
        <f>HYPERLINK("https%3A%2F%2Fwww.webofscience.com%2Fwos%2Fwoscc%2Ffull-record%2FWOS:000766268900011","View Full Record in Web of Science")</f>
        <v>View Full Record in Web of Science</v>
      </c>
    </row>
    <row r="90" ht="12.75" customHeight="1">
      <c r="A90" s="5" t="s">
        <v>422</v>
      </c>
      <c r="B90" s="10"/>
      <c r="D90" s="3" t="s">
        <v>185</v>
      </c>
      <c r="E90" s="3" t="s">
        <v>1373</v>
      </c>
      <c r="F90" s="3" t="s">
        <v>79</v>
      </c>
      <c r="G90" s="3" t="s">
        <v>79</v>
      </c>
      <c r="H90" s="3" t="s">
        <v>79</v>
      </c>
      <c r="I90" s="3" t="s">
        <v>1374</v>
      </c>
      <c r="J90" s="3" t="s">
        <v>79</v>
      </c>
      <c r="K90" s="3" t="s">
        <v>79</v>
      </c>
      <c r="L90" s="3" t="s">
        <v>1375</v>
      </c>
      <c r="M90" s="3" t="s">
        <v>1376</v>
      </c>
      <c r="N90" s="3" t="s">
        <v>79</v>
      </c>
      <c r="O90" s="3" t="s">
        <v>79</v>
      </c>
      <c r="P90" s="3" t="s">
        <v>79</v>
      </c>
      <c r="Q90" s="3" t="s">
        <v>190</v>
      </c>
      <c r="R90" s="3" t="s">
        <v>79</v>
      </c>
      <c r="S90" s="3" t="s">
        <v>79</v>
      </c>
      <c r="T90" s="3" t="s">
        <v>79</v>
      </c>
      <c r="U90" s="3" t="s">
        <v>79</v>
      </c>
      <c r="V90" s="3" t="s">
        <v>79</v>
      </c>
      <c r="W90" s="3" t="s">
        <v>1377</v>
      </c>
      <c r="X90" s="3" t="s">
        <v>1378</v>
      </c>
      <c r="Y90" s="3" t="s">
        <v>1379</v>
      </c>
      <c r="Z90" s="3" t="s">
        <v>1380</v>
      </c>
      <c r="AA90" s="3" t="s">
        <v>1381</v>
      </c>
      <c r="AB90" s="3" t="s">
        <v>1382</v>
      </c>
      <c r="AC90" s="3" t="s">
        <v>1383</v>
      </c>
      <c r="AD90" s="3" t="s">
        <v>1384</v>
      </c>
      <c r="AE90" s="3" t="s">
        <v>1385</v>
      </c>
      <c r="AF90" s="3" t="s">
        <v>79</v>
      </c>
      <c r="AG90" s="3" t="s">
        <v>79</v>
      </c>
      <c r="AH90" s="3" t="s">
        <v>79</v>
      </c>
      <c r="AI90" s="3" t="s">
        <v>79</v>
      </c>
      <c r="AJ90" s="3">
        <v>41.0</v>
      </c>
      <c r="AK90" s="3">
        <v>29.0</v>
      </c>
      <c r="AL90" s="3">
        <v>43.0</v>
      </c>
      <c r="AM90" s="3" t="s">
        <v>79</v>
      </c>
      <c r="AN90" s="3" t="s">
        <v>79</v>
      </c>
      <c r="AO90" s="3" t="s">
        <v>79</v>
      </c>
      <c r="AP90" s="3" t="s">
        <v>79</v>
      </c>
      <c r="AQ90" s="3" t="s">
        <v>79</v>
      </c>
      <c r="AR90" s="3" t="s">
        <v>79</v>
      </c>
      <c r="AS90" s="3" t="s">
        <v>79</v>
      </c>
      <c r="AT90" s="3" t="s">
        <v>79</v>
      </c>
      <c r="AU90" s="3" t="s">
        <v>79</v>
      </c>
      <c r="AV90" s="3" t="s">
        <v>79</v>
      </c>
      <c r="AW90" s="3" t="s">
        <v>1386</v>
      </c>
      <c r="AX90" s="3">
        <v>2020.0</v>
      </c>
      <c r="AY90" s="3">
        <v>718.0</v>
      </c>
      <c r="AZ90" s="3" t="s">
        <v>79</v>
      </c>
      <c r="BA90" s="3" t="s">
        <v>79</v>
      </c>
      <c r="BB90" s="3" t="s">
        <v>79</v>
      </c>
      <c r="BC90" s="3" t="s">
        <v>79</v>
      </c>
      <c r="BD90" s="3" t="s">
        <v>79</v>
      </c>
      <c r="BE90" s="3" t="s">
        <v>79</v>
      </c>
      <c r="BF90" s="3" t="s">
        <v>79</v>
      </c>
      <c r="BG90" s="3">
        <v>134727.0</v>
      </c>
      <c r="BH90" s="3" t="s">
        <v>1387</v>
      </c>
      <c r="BI90" s="8" t="str">
        <f>HYPERLINK("http://dx.doi.org/10.1016/j.neulet.2019.134727","http://dx.doi.org/10.1016/j.neulet.2019.134727")</f>
        <v>http://dx.doi.org/10.1016/j.neulet.2019.134727</v>
      </c>
      <c r="BJ90" s="3" t="s">
        <v>79</v>
      </c>
      <c r="BK90" s="3" t="s">
        <v>79</v>
      </c>
      <c r="BL90" s="3" t="s">
        <v>79</v>
      </c>
      <c r="BM90" s="3" t="s">
        <v>79</v>
      </c>
      <c r="BN90" s="3" t="s">
        <v>79</v>
      </c>
      <c r="BO90" s="3" t="s">
        <v>202</v>
      </c>
      <c r="BP90" s="3" t="s">
        <v>79</v>
      </c>
      <c r="BQ90" s="3" t="s">
        <v>79</v>
      </c>
      <c r="BR90" s="3" t="s">
        <v>79</v>
      </c>
      <c r="BS90" s="3" t="s">
        <v>79</v>
      </c>
      <c r="BT90" s="3" t="s">
        <v>79</v>
      </c>
      <c r="BU90" s="3" t="s">
        <v>95</v>
      </c>
      <c r="BV90" s="3" t="s">
        <v>1388</v>
      </c>
      <c r="BW90" s="3" t="str">
        <f>HYPERLINK("https%3A%2F%2Fwww.webofscience.com%2Fwos%2Fwoscc%2Ffull-record%2FWOS:000510948200006","View Full Record in Web of Science")</f>
        <v>View Full Record in Web of Science</v>
      </c>
    </row>
    <row r="91" ht="12.75" customHeight="1">
      <c r="A91" s="5" t="s">
        <v>422</v>
      </c>
      <c r="B91" s="10"/>
      <c r="D91" s="3" t="s">
        <v>77</v>
      </c>
      <c r="E91" s="3" t="s">
        <v>1389</v>
      </c>
      <c r="F91" s="3" t="s">
        <v>79</v>
      </c>
      <c r="G91" s="3" t="s">
        <v>79</v>
      </c>
      <c r="H91" s="3" t="s">
        <v>80</v>
      </c>
      <c r="I91" s="3" t="s">
        <v>1390</v>
      </c>
      <c r="J91" s="3" t="s">
        <v>79</v>
      </c>
      <c r="K91" s="3" t="s">
        <v>79</v>
      </c>
      <c r="L91" s="3" t="s">
        <v>1391</v>
      </c>
      <c r="M91" s="3" t="s">
        <v>1392</v>
      </c>
      <c r="N91" s="3" t="s">
        <v>79</v>
      </c>
      <c r="O91" s="3" t="s">
        <v>79</v>
      </c>
      <c r="P91" s="3" t="s">
        <v>79</v>
      </c>
      <c r="Q91" s="3" t="s">
        <v>84</v>
      </c>
      <c r="R91" s="3" t="s">
        <v>79</v>
      </c>
      <c r="S91" s="3" t="s">
        <v>79</v>
      </c>
      <c r="T91" s="3" t="s">
        <v>79</v>
      </c>
      <c r="U91" s="3" t="s">
        <v>79</v>
      </c>
      <c r="V91" s="3" t="s">
        <v>79</v>
      </c>
      <c r="W91" s="3" t="s">
        <v>1393</v>
      </c>
      <c r="X91" s="3" t="s">
        <v>1394</v>
      </c>
      <c r="Y91" s="3" t="s">
        <v>1395</v>
      </c>
      <c r="Z91" s="3" t="s">
        <v>1396</v>
      </c>
      <c r="AA91" s="3" t="s">
        <v>1397</v>
      </c>
      <c r="AB91" s="3" t="s">
        <v>1398</v>
      </c>
      <c r="AC91" s="3" t="s">
        <v>1399</v>
      </c>
      <c r="AD91" s="3" t="s">
        <v>79</v>
      </c>
      <c r="AE91" s="3" t="s">
        <v>79</v>
      </c>
      <c r="AF91" s="3" t="s">
        <v>79</v>
      </c>
      <c r="AG91" s="3" t="s">
        <v>79</v>
      </c>
      <c r="AH91" s="3" t="s">
        <v>79</v>
      </c>
      <c r="AI91" s="3" t="s">
        <v>79</v>
      </c>
      <c r="AJ91" s="3">
        <v>12.0</v>
      </c>
      <c r="AK91" s="3">
        <v>15.0</v>
      </c>
      <c r="AL91" s="3">
        <v>16.0</v>
      </c>
      <c r="AM91" s="3" t="s">
        <v>79</v>
      </c>
      <c r="AN91" s="3" t="s">
        <v>79</v>
      </c>
      <c r="AO91" s="3" t="s">
        <v>79</v>
      </c>
      <c r="AP91" s="3" t="s">
        <v>79</v>
      </c>
      <c r="AQ91" s="3" t="s">
        <v>79</v>
      </c>
      <c r="AR91" s="3" t="s">
        <v>79</v>
      </c>
      <c r="AS91" s="3" t="s">
        <v>79</v>
      </c>
      <c r="AT91" s="3" t="s">
        <v>79</v>
      </c>
      <c r="AU91" s="3" t="s">
        <v>79</v>
      </c>
      <c r="AV91" s="3" t="s">
        <v>79</v>
      </c>
      <c r="AW91" s="3" t="s">
        <v>79</v>
      </c>
      <c r="AX91" s="3">
        <v>2016.0</v>
      </c>
      <c r="AY91" s="3" t="s">
        <v>79</v>
      </c>
      <c r="AZ91" s="3" t="s">
        <v>79</v>
      </c>
      <c r="BA91" s="3" t="s">
        <v>79</v>
      </c>
      <c r="BB91" s="3" t="s">
        <v>79</v>
      </c>
      <c r="BC91" s="3" t="s">
        <v>79</v>
      </c>
      <c r="BD91" s="3" t="s">
        <v>79</v>
      </c>
      <c r="BE91" s="3">
        <v>288.0</v>
      </c>
      <c r="BF91" s="3">
        <v>292.0</v>
      </c>
      <c r="BG91" s="3" t="s">
        <v>79</v>
      </c>
      <c r="BH91" s="3" t="s">
        <v>79</v>
      </c>
      <c r="BI91" s="3" t="s">
        <v>79</v>
      </c>
      <c r="BJ91" s="3" t="s">
        <v>79</v>
      </c>
      <c r="BK91" s="3" t="s">
        <v>79</v>
      </c>
      <c r="BL91" s="3" t="s">
        <v>79</v>
      </c>
      <c r="BM91" s="3" t="s">
        <v>79</v>
      </c>
      <c r="BN91" s="3" t="s">
        <v>79</v>
      </c>
      <c r="BO91" s="3" t="s">
        <v>1400</v>
      </c>
      <c r="BP91" s="3" t="s">
        <v>79</v>
      </c>
      <c r="BQ91" s="3" t="s">
        <v>79</v>
      </c>
      <c r="BR91" s="3" t="s">
        <v>79</v>
      </c>
      <c r="BS91" s="3" t="s">
        <v>79</v>
      </c>
      <c r="BT91" s="3" t="s">
        <v>79</v>
      </c>
      <c r="BU91" s="3" t="s">
        <v>95</v>
      </c>
      <c r="BV91" s="3" t="s">
        <v>1401</v>
      </c>
      <c r="BW91" s="3" t="str">
        <f>HYPERLINK("https%3A%2F%2Fwww.webofscience.com%2Fwos%2Fwoscc%2Ffull-record%2FWOS:000390848900048","View Full Record in Web of Science")</f>
        <v>View Full Record in Web of Science</v>
      </c>
    </row>
    <row r="92" ht="12.75" customHeight="1">
      <c r="A92" s="5" t="s">
        <v>1402</v>
      </c>
      <c r="B92" s="6" t="s">
        <v>1403</v>
      </c>
      <c r="C92" s="1">
        <v>0.0</v>
      </c>
      <c r="D92" s="3" t="s">
        <v>77</v>
      </c>
      <c r="E92" s="3" t="s">
        <v>1404</v>
      </c>
      <c r="F92" s="3" t="s">
        <v>79</v>
      </c>
      <c r="G92" s="3" t="s">
        <v>1405</v>
      </c>
      <c r="H92" s="3" t="s">
        <v>79</v>
      </c>
      <c r="I92" s="3" t="s">
        <v>1406</v>
      </c>
      <c r="J92" s="3" t="s">
        <v>79</v>
      </c>
      <c r="K92" s="3" t="s">
        <v>79</v>
      </c>
      <c r="L92" s="3" t="s">
        <v>1407</v>
      </c>
      <c r="M92" s="3" t="s">
        <v>1408</v>
      </c>
      <c r="N92" s="3" t="s">
        <v>79</v>
      </c>
      <c r="O92" s="3" t="s">
        <v>79</v>
      </c>
      <c r="P92" s="3" t="s">
        <v>79</v>
      </c>
      <c r="Q92" s="3" t="s">
        <v>84</v>
      </c>
      <c r="R92" s="3" t="s">
        <v>79</v>
      </c>
      <c r="S92" s="3" t="s">
        <v>79</v>
      </c>
      <c r="T92" s="3" t="s">
        <v>79</v>
      </c>
      <c r="U92" s="3" t="s">
        <v>79</v>
      </c>
      <c r="V92" s="3" t="s">
        <v>79</v>
      </c>
      <c r="W92" s="3" t="s">
        <v>79</v>
      </c>
      <c r="X92" s="3" t="s">
        <v>1409</v>
      </c>
      <c r="Y92" s="3" t="s">
        <v>1410</v>
      </c>
      <c r="Z92" s="3" t="s">
        <v>1411</v>
      </c>
      <c r="AA92" s="3" t="s">
        <v>1412</v>
      </c>
      <c r="AB92" s="3" t="s">
        <v>1413</v>
      </c>
      <c r="AC92" s="3" t="s">
        <v>1414</v>
      </c>
      <c r="AD92" s="3" t="s">
        <v>1415</v>
      </c>
      <c r="AE92" s="3" t="s">
        <v>79</v>
      </c>
      <c r="AF92" s="3" t="s">
        <v>79</v>
      </c>
      <c r="AG92" s="3" t="s">
        <v>79</v>
      </c>
      <c r="AH92" s="3" t="s">
        <v>79</v>
      </c>
      <c r="AI92" s="3" t="s">
        <v>79</v>
      </c>
      <c r="AJ92" s="3">
        <v>18.0</v>
      </c>
      <c r="AK92" s="3">
        <v>0.0</v>
      </c>
      <c r="AL92" s="3">
        <v>0.0</v>
      </c>
      <c r="AM92" s="3" t="s">
        <v>79</v>
      </c>
      <c r="AN92" s="3" t="s">
        <v>79</v>
      </c>
      <c r="AO92" s="3" t="s">
        <v>79</v>
      </c>
      <c r="AP92" s="3" t="s">
        <v>79</v>
      </c>
      <c r="AQ92" s="3" t="s">
        <v>79</v>
      </c>
      <c r="AR92" s="3" t="s">
        <v>79</v>
      </c>
      <c r="AS92" s="3" t="s">
        <v>79</v>
      </c>
      <c r="AT92" s="3" t="s">
        <v>79</v>
      </c>
      <c r="AU92" s="3" t="s">
        <v>79</v>
      </c>
      <c r="AV92" s="3" t="s">
        <v>79</v>
      </c>
      <c r="AW92" s="3" t="s">
        <v>79</v>
      </c>
      <c r="AX92" s="3">
        <v>2008.0</v>
      </c>
      <c r="AY92" s="3" t="s">
        <v>79</v>
      </c>
      <c r="AZ92" s="3" t="s">
        <v>79</v>
      </c>
      <c r="BA92" s="3" t="s">
        <v>79</v>
      </c>
      <c r="BB92" s="3" t="s">
        <v>79</v>
      </c>
      <c r="BC92" s="3" t="s">
        <v>79</v>
      </c>
      <c r="BD92" s="3" t="s">
        <v>79</v>
      </c>
      <c r="BE92" s="3">
        <v>29.0</v>
      </c>
      <c r="BF92" s="3">
        <v>37.0</v>
      </c>
      <c r="BG92" s="3" t="s">
        <v>79</v>
      </c>
      <c r="BH92" s="3" t="s">
        <v>1416</v>
      </c>
      <c r="BI92" s="8" t="str">
        <f>HYPERLINK("http://dx.doi.org/10.1007/978-1-4020-8889-6_4","http://dx.doi.org/10.1007/978-1-4020-8889-6_4")</f>
        <v>http://dx.doi.org/10.1007/978-1-4020-8889-6_4</v>
      </c>
      <c r="BJ92" s="3" t="s">
        <v>79</v>
      </c>
      <c r="BK92" s="3" t="s">
        <v>79</v>
      </c>
      <c r="BL92" s="3" t="s">
        <v>79</v>
      </c>
      <c r="BM92" s="3" t="s">
        <v>79</v>
      </c>
      <c r="BN92" s="3" t="s">
        <v>79</v>
      </c>
      <c r="BO92" s="3" t="s">
        <v>1417</v>
      </c>
      <c r="BP92" s="3" t="s">
        <v>79</v>
      </c>
      <c r="BQ92" s="3" t="s">
        <v>79</v>
      </c>
      <c r="BR92" s="3" t="s">
        <v>79</v>
      </c>
      <c r="BS92" s="3" t="s">
        <v>79</v>
      </c>
      <c r="BT92" s="3" t="s">
        <v>79</v>
      </c>
      <c r="BU92" s="3" t="s">
        <v>95</v>
      </c>
      <c r="BV92" s="3" t="s">
        <v>1418</v>
      </c>
      <c r="BW92" s="3" t="str">
        <f>HYPERLINK("https%3A%2F%2Fwww.webofscience.com%2Fwos%2Fwoscc%2Ffull-record%2FWOS:000261729700004","View Full Record in Web of Science")</f>
        <v>View Full Record in Web of Science</v>
      </c>
    </row>
    <row r="93" ht="12.75" customHeight="1">
      <c r="A93" s="5" t="s">
        <v>1402</v>
      </c>
      <c r="B93" s="10"/>
      <c r="C93" s="1">
        <v>5.0</v>
      </c>
      <c r="D93" s="3" t="s">
        <v>185</v>
      </c>
      <c r="E93" s="3" t="s">
        <v>1419</v>
      </c>
      <c r="F93" s="3" t="s">
        <v>79</v>
      </c>
      <c r="G93" s="3" t="s">
        <v>79</v>
      </c>
      <c r="H93" s="3" t="s">
        <v>79</v>
      </c>
      <c r="I93" s="3" t="s">
        <v>1420</v>
      </c>
      <c r="J93" s="3" t="s">
        <v>79</v>
      </c>
      <c r="K93" s="3" t="s">
        <v>79</v>
      </c>
      <c r="L93" s="3" t="s">
        <v>1421</v>
      </c>
      <c r="M93" s="3" t="s">
        <v>822</v>
      </c>
      <c r="N93" s="3" t="s">
        <v>79</v>
      </c>
      <c r="O93" s="3" t="s">
        <v>79</v>
      </c>
      <c r="P93" s="3" t="s">
        <v>79</v>
      </c>
      <c r="Q93" s="3" t="s">
        <v>190</v>
      </c>
      <c r="R93" s="3" t="s">
        <v>79</v>
      </c>
      <c r="S93" s="3" t="s">
        <v>79</v>
      </c>
      <c r="T93" s="3" t="s">
        <v>79</v>
      </c>
      <c r="U93" s="3" t="s">
        <v>79</v>
      </c>
      <c r="V93" s="3" t="s">
        <v>79</v>
      </c>
      <c r="W93" s="3" t="s">
        <v>79</v>
      </c>
      <c r="X93" s="3" t="s">
        <v>1422</v>
      </c>
      <c r="Y93" s="3" t="s">
        <v>1423</v>
      </c>
      <c r="Z93" s="3" t="s">
        <v>1424</v>
      </c>
      <c r="AA93" s="3" t="s">
        <v>1425</v>
      </c>
      <c r="AB93" s="3" t="s">
        <v>1426</v>
      </c>
      <c r="AC93" s="3" t="s">
        <v>1190</v>
      </c>
      <c r="AD93" s="3" t="s">
        <v>1427</v>
      </c>
      <c r="AE93" s="3" t="s">
        <v>1428</v>
      </c>
      <c r="AF93" s="3" t="s">
        <v>79</v>
      </c>
      <c r="AG93" s="3" t="s">
        <v>79</v>
      </c>
      <c r="AH93" s="3" t="s">
        <v>79</v>
      </c>
      <c r="AI93" s="3" t="s">
        <v>79</v>
      </c>
      <c r="AJ93" s="3">
        <v>39.0</v>
      </c>
      <c r="AK93" s="3">
        <v>51.0</v>
      </c>
      <c r="AL93" s="3">
        <v>62.0</v>
      </c>
      <c r="AM93" s="3" t="s">
        <v>79</v>
      </c>
      <c r="AN93" s="3" t="s">
        <v>79</v>
      </c>
      <c r="AO93" s="3" t="s">
        <v>79</v>
      </c>
      <c r="AP93" s="3" t="s">
        <v>79</v>
      </c>
      <c r="AQ93" s="3" t="s">
        <v>79</v>
      </c>
      <c r="AR93" s="3" t="s">
        <v>79</v>
      </c>
      <c r="AS93" s="3" t="s">
        <v>79</v>
      </c>
      <c r="AT93" s="3" t="s">
        <v>79</v>
      </c>
      <c r="AU93" s="3" t="s">
        <v>79</v>
      </c>
      <c r="AV93" s="3" t="s">
        <v>79</v>
      </c>
      <c r="AW93" s="3" t="s">
        <v>497</v>
      </c>
      <c r="AX93" s="3">
        <v>2009.0</v>
      </c>
      <c r="AY93" s="3">
        <v>6.0</v>
      </c>
      <c r="AZ93" s="3">
        <v>4.0</v>
      </c>
      <c r="BA93" s="3" t="s">
        <v>79</v>
      </c>
      <c r="BB93" s="3" t="s">
        <v>79</v>
      </c>
      <c r="BC93" s="3" t="s">
        <v>79</v>
      </c>
      <c r="BD93" s="3" t="s">
        <v>79</v>
      </c>
      <c r="BE93" s="3" t="s">
        <v>79</v>
      </c>
      <c r="BF93" s="3" t="s">
        <v>79</v>
      </c>
      <c r="BG93" s="3">
        <v>46005.0</v>
      </c>
      <c r="BH93" s="3" t="s">
        <v>1429</v>
      </c>
      <c r="BI93" s="8" t="str">
        <f>HYPERLINK("http://dx.doi.org/10.1088/1741-2560/6/4/046005","http://dx.doi.org/10.1088/1741-2560/6/4/046005")</f>
        <v>http://dx.doi.org/10.1088/1741-2560/6/4/046005</v>
      </c>
      <c r="BJ93" s="3" t="s">
        <v>79</v>
      </c>
      <c r="BK93" s="3" t="s">
        <v>79</v>
      </c>
      <c r="BL93" s="3" t="s">
        <v>79</v>
      </c>
      <c r="BM93" s="3" t="s">
        <v>79</v>
      </c>
      <c r="BN93" s="3" t="s">
        <v>79</v>
      </c>
      <c r="BO93" s="3" t="s">
        <v>559</v>
      </c>
      <c r="BP93" s="3" t="s">
        <v>79</v>
      </c>
      <c r="BQ93" s="3" t="s">
        <v>79</v>
      </c>
      <c r="BR93" s="3" t="s">
        <v>79</v>
      </c>
      <c r="BS93" s="3" t="s">
        <v>79</v>
      </c>
      <c r="BT93" s="3" t="s">
        <v>79</v>
      </c>
      <c r="BU93" s="3" t="s">
        <v>95</v>
      </c>
      <c r="BV93" s="3" t="s">
        <v>1430</v>
      </c>
      <c r="BW93" s="3" t="str">
        <f>HYPERLINK("https%3A%2F%2Fwww.webofscience.com%2Fwos%2Fwoscc%2Ffull-record%2FWOS:000269480300006","View Full Record in Web of Science")</f>
        <v>View Full Record in Web of Science</v>
      </c>
    </row>
    <row r="94" ht="12.75" customHeight="1">
      <c r="A94" s="5" t="s">
        <v>1402</v>
      </c>
      <c r="B94" s="10"/>
      <c r="C94" s="1">
        <v>9.0</v>
      </c>
      <c r="D94" s="3" t="s">
        <v>185</v>
      </c>
      <c r="E94" s="3" t="s">
        <v>1431</v>
      </c>
      <c r="F94" s="3" t="s">
        <v>79</v>
      </c>
      <c r="G94" s="3" t="s">
        <v>79</v>
      </c>
      <c r="H94" s="3" t="s">
        <v>79</v>
      </c>
      <c r="I94" s="3" t="s">
        <v>1432</v>
      </c>
      <c r="J94" s="3" t="s">
        <v>79</v>
      </c>
      <c r="K94" s="3" t="s">
        <v>79</v>
      </c>
      <c r="L94" s="3" t="s">
        <v>1433</v>
      </c>
      <c r="M94" s="3" t="s">
        <v>410</v>
      </c>
      <c r="N94" s="3" t="s">
        <v>79</v>
      </c>
      <c r="O94" s="3" t="s">
        <v>79</v>
      </c>
      <c r="P94" s="3" t="s">
        <v>79</v>
      </c>
      <c r="Q94" s="3" t="s">
        <v>190</v>
      </c>
      <c r="R94" s="3" t="s">
        <v>79</v>
      </c>
      <c r="S94" s="3" t="s">
        <v>79</v>
      </c>
      <c r="T94" s="3" t="s">
        <v>79</v>
      </c>
      <c r="U94" s="3" t="s">
        <v>79</v>
      </c>
      <c r="V94" s="3" t="s">
        <v>79</v>
      </c>
      <c r="W94" s="3" t="s">
        <v>1434</v>
      </c>
      <c r="X94" s="3" t="s">
        <v>1435</v>
      </c>
      <c r="Y94" s="3" t="s">
        <v>1436</v>
      </c>
      <c r="Z94" s="3" t="s">
        <v>1437</v>
      </c>
      <c r="AA94" s="3" t="s">
        <v>1438</v>
      </c>
      <c r="AB94" s="3" t="s">
        <v>1439</v>
      </c>
      <c r="AC94" s="3" t="s">
        <v>1440</v>
      </c>
      <c r="AD94" s="3" t="s">
        <v>1441</v>
      </c>
      <c r="AE94" s="3" t="s">
        <v>1442</v>
      </c>
      <c r="AF94" s="3" t="s">
        <v>79</v>
      </c>
      <c r="AG94" s="3" t="s">
        <v>79</v>
      </c>
      <c r="AH94" s="3" t="s">
        <v>79</v>
      </c>
      <c r="AI94" s="3" t="s">
        <v>79</v>
      </c>
      <c r="AJ94" s="3">
        <v>58.0</v>
      </c>
      <c r="AK94" s="3">
        <v>28.0</v>
      </c>
      <c r="AL94" s="3">
        <v>35.0</v>
      </c>
      <c r="AM94" s="3" t="s">
        <v>79</v>
      </c>
      <c r="AN94" s="3" t="s">
        <v>79</v>
      </c>
      <c r="AO94" s="3" t="s">
        <v>79</v>
      </c>
      <c r="AP94" s="3" t="s">
        <v>79</v>
      </c>
      <c r="AQ94" s="3" t="s">
        <v>79</v>
      </c>
      <c r="AR94" s="3" t="s">
        <v>79</v>
      </c>
      <c r="AS94" s="3" t="s">
        <v>79</v>
      </c>
      <c r="AT94" s="3" t="s">
        <v>79</v>
      </c>
      <c r="AU94" s="3" t="s">
        <v>79</v>
      </c>
      <c r="AV94" s="3" t="s">
        <v>79</v>
      </c>
      <c r="AW94" s="3" t="s">
        <v>79</v>
      </c>
      <c r="AX94" s="3">
        <v>2023.0</v>
      </c>
      <c r="AY94" s="3">
        <v>31.0</v>
      </c>
      <c r="AZ94" s="3" t="s">
        <v>79</v>
      </c>
      <c r="BA94" s="3" t="s">
        <v>79</v>
      </c>
      <c r="BB94" s="3" t="s">
        <v>79</v>
      </c>
      <c r="BC94" s="3" t="s">
        <v>79</v>
      </c>
      <c r="BD94" s="3" t="s">
        <v>79</v>
      </c>
      <c r="BE94" s="3">
        <v>1554.0</v>
      </c>
      <c r="BF94" s="3">
        <v>1565.0</v>
      </c>
      <c r="BG94" s="3" t="s">
        <v>79</v>
      </c>
      <c r="BH94" s="3" t="s">
        <v>1443</v>
      </c>
      <c r="BI94" s="8" t="str">
        <f>HYPERLINK("http://dx.doi.org/10.1109/TNSRE.2023.3249831","http://dx.doi.org/10.1109/TNSRE.2023.3249831")</f>
        <v>http://dx.doi.org/10.1109/TNSRE.2023.3249831</v>
      </c>
      <c r="BJ94" s="3" t="s">
        <v>79</v>
      </c>
      <c r="BK94" s="3" t="s">
        <v>79</v>
      </c>
      <c r="BL94" s="3" t="s">
        <v>79</v>
      </c>
      <c r="BM94" s="3" t="s">
        <v>79</v>
      </c>
      <c r="BN94" s="3" t="s">
        <v>79</v>
      </c>
      <c r="BO94" s="3" t="s">
        <v>109</v>
      </c>
      <c r="BP94" s="3" t="s">
        <v>79</v>
      </c>
      <c r="BQ94" s="3" t="s">
        <v>79</v>
      </c>
      <c r="BR94" s="3" t="s">
        <v>79</v>
      </c>
      <c r="BS94" s="3" t="s">
        <v>79</v>
      </c>
      <c r="BT94" s="3" t="s">
        <v>79</v>
      </c>
      <c r="BU94" s="3" t="s">
        <v>95</v>
      </c>
      <c r="BV94" s="3" t="s">
        <v>1444</v>
      </c>
      <c r="BW94" s="3" t="str">
        <f>HYPERLINK("https%3A%2F%2Fwww.webofscience.com%2Fwos%2Fwoscc%2Ffull-record%2FWOS:000946264200005","View Full Record in Web of Science")</f>
        <v>View Full Record in Web of Science</v>
      </c>
    </row>
    <row r="95" ht="12.75" customHeight="1">
      <c r="A95" s="5" t="s">
        <v>1402</v>
      </c>
      <c r="B95" s="10"/>
      <c r="C95" s="1">
        <v>6.0</v>
      </c>
      <c r="D95" s="3" t="s">
        <v>185</v>
      </c>
      <c r="E95" s="3" t="s">
        <v>1445</v>
      </c>
      <c r="F95" s="3" t="s">
        <v>79</v>
      </c>
      <c r="G95" s="3" t="s">
        <v>79</v>
      </c>
      <c r="H95" s="3" t="s">
        <v>79</v>
      </c>
      <c r="I95" s="3" t="s">
        <v>1446</v>
      </c>
      <c r="J95" s="3" t="s">
        <v>79</v>
      </c>
      <c r="K95" s="3" t="s">
        <v>79</v>
      </c>
      <c r="L95" s="3" t="s">
        <v>1447</v>
      </c>
      <c r="M95" s="3" t="s">
        <v>207</v>
      </c>
      <c r="N95" s="3" t="s">
        <v>79</v>
      </c>
      <c r="O95" s="3" t="s">
        <v>79</v>
      </c>
      <c r="P95" s="3" t="s">
        <v>79</v>
      </c>
      <c r="Q95" s="3" t="s">
        <v>190</v>
      </c>
      <c r="R95" s="3" t="s">
        <v>79</v>
      </c>
      <c r="S95" s="3" t="s">
        <v>79</v>
      </c>
      <c r="T95" s="3" t="s">
        <v>79</v>
      </c>
      <c r="U95" s="3" t="s">
        <v>79</v>
      </c>
      <c r="V95" s="3" t="s">
        <v>79</v>
      </c>
      <c r="W95" s="3" t="s">
        <v>1448</v>
      </c>
      <c r="X95" s="3" t="s">
        <v>1449</v>
      </c>
      <c r="Y95" s="3" t="s">
        <v>1450</v>
      </c>
      <c r="Z95" s="3" t="s">
        <v>1451</v>
      </c>
      <c r="AA95" s="3" t="s">
        <v>1452</v>
      </c>
      <c r="AB95" s="3" t="s">
        <v>1453</v>
      </c>
      <c r="AC95" s="3" t="s">
        <v>1454</v>
      </c>
      <c r="AD95" s="3" t="s">
        <v>1455</v>
      </c>
      <c r="AE95" s="3" t="s">
        <v>1456</v>
      </c>
      <c r="AF95" s="3" t="s">
        <v>79</v>
      </c>
      <c r="AG95" s="3" t="s">
        <v>79</v>
      </c>
      <c r="AH95" s="3" t="s">
        <v>79</v>
      </c>
      <c r="AI95" s="3" t="s">
        <v>79</v>
      </c>
      <c r="AJ95" s="3">
        <v>53.0</v>
      </c>
      <c r="AK95" s="3">
        <v>2.0</v>
      </c>
      <c r="AL95" s="3">
        <v>2.0</v>
      </c>
      <c r="AM95" s="3" t="s">
        <v>79</v>
      </c>
      <c r="AN95" s="3" t="s">
        <v>79</v>
      </c>
      <c r="AO95" s="3" t="s">
        <v>79</v>
      </c>
      <c r="AP95" s="3" t="s">
        <v>79</v>
      </c>
      <c r="AQ95" s="3" t="s">
        <v>79</v>
      </c>
      <c r="AR95" s="3" t="s">
        <v>79</v>
      </c>
      <c r="AS95" s="3" t="s">
        <v>79</v>
      </c>
      <c r="AT95" s="3" t="s">
        <v>79</v>
      </c>
      <c r="AU95" s="3" t="s">
        <v>79</v>
      </c>
      <c r="AV95" s="3" t="s">
        <v>79</v>
      </c>
      <c r="AW95" s="3" t="s">
        <v>79</v>
      </c>
      <c r="AX95" s="3">
        <v>2024.0</v>
      </c>
      <c r="AY95" s="3">
        <v>12.0</v>
      </c>
      <c r="AZ95" s="3" t="s">
        <v>79</v>
      </c>
      <c r="BA95" s="3" t="s">
        <v>79</v>
      </c>
      <c r="BB95" s="3" t="s">
        <v>79</v>
      </c>
      <c r="BC95" s="3" t="s">
        <v>79</v>
      </c>
      <c r="BD95" s="3" t="s">
        <v>79</v>
      </c>
      <c r="BE95" s="3">
        <v>95417.0</v>
      </c>
      <c r="BF95" s="3">
        <v>95433.0</v>
      </c>
      <c r="BG95" s="3" t="s">
        <v>79</v>
      </c>
      <c r="BH95" s="3" t="s">
        <v>1457</v>
      </c>
      <c r="BI95" s="8" t="str">
        <f>HYPERLINK("http://dx.doi.org/10.1109/ACCESS.2024.3424953","http://dx.doi.org/10.1109/ACCESS.2024.3424953")</f>
        <v>http://dx.doi.org/10.1109/ACCESS.2024.3424953</v>
      </c>
      <c r="BJ95" s="3" t="s">
        <v>79</v>
      </c>
      <c r="BK95" s="3" t="s">
        <v>79</v>
      </c>
      <c r="BL95" s="3" t="s">
        <v>79</v>
      </c>
      <c r="BM95" s="3" t="s">
        <v>79</v>
      </c>
      <c r="BN95" s="3" t="s">
        <v>79</v>
      </c>
      <c r="BO95" s="3" t="s">
        <v>217</v>
      </c>
      <c r="BP95" s="3" t="s">
        <v>79</v>
      </c>
      <c r="BQ95" s="3" t="s">
        <v>79</v>
      </c>
      <c r="BR95" s="3" t="s">
        <v>79</v>
      </c>
      <c r="BS95" s="3" t="s">
        <v>79</v>
      </c>
      <c r="BT95" s="3" t="s">
        <v>79</v>
      </c>
      <c r="BU95" s="3" t="s">
        <v>95</v>
      </c>
      <c r="BV95" s="3" t="s">
        <v>1458</v>
      </c>
      <c r="BW95" s="3" t="str">
        <f>HYPERLINK("https%3A%2F%2Fwww.webofscience.com%2Fwos%2Fwoscc%2Ffull-record%2FWOS:001272138600001","View Full Record in Web of Science")</f>
        <v>View Full Record in Web of Science</v>
      </c>
    </row>
    <row r="96" ht="12.75" customHeight="1">
      <c r="A96" s="5" t="s">
        <v>1402</v>
      </c>
      <c r="B96" s="10"/>
      <c r="C96" s="1">
        <v>8.0</v>
      </c>
      <c r="D96" s="3" t="s">
        <v>185</v>
      </c>
      <c r="E96" s="3" t="s">
        <v>1459</v>
      </c>
      <c r="F96" s="3" t="s">
        <v>79</v>
      </c>
      <c r="G96" s="3" t="s">
        <v>79</v>
      </c>
      <c r="H96" s="3" t="s">
        <v>79</v>
      </c>
      <c r="I96" s="3" t="s">
        <v>1460</v>
      </c>
      <c r="J96" s="3" t="s">
        <v>79</v>
      </c>
      <c r="K96" s="3" t="s">
        <v>79</v>
      </c>
      <c r="L96" s="3" t="s">
        <v>1461</v>
      </c>
      <c r="M96" s="3" t="s">
        <v>234</v>
      </c>
      <c r="N96" s="3" t="s">
        <v>79</v>
      </c>
      <c r="O96" s="3" t="s">
        <v>79</v>
      </c>
      <c r="P96" s="3" t="s">
        <v>79</v>
      </c>
      <c r="Q96" s="3" t="s">
        <v>190</v>
      </c>
      <c r="R96" s="3" t="s">
        <v>79</v>
      </c>
      <c r="S96" s="3" t="s">
        <v>79</v>
      </c>
      <c r="T96" s="3" t="s">
        <v>79</v>
      </c>
      <c r="U96" s="3" t="s">
        <v>79</v>
      </c>
      <c r="V96" s="3" t="s">
        <v>79</v>
      </c>
      <c r="W96" s="3" t="s">
        <v>1462</v>
      </c>
      <c r="X96" s="3" t="s">
        <v>1463</v>
      </c>
      <c r="Y96" s="3" t="s">
        <v>1464</v>
      </c>
      <c r="Z96" s="3" t="s">
        <v>1465</v>
      </c>
      <c r="AA96" s="3" t="s">
        <v>1466</v>
      </c>
      <c r="AB96" s="3" t="s">
        <v>1467</v>
      </c>
      <c r="AC96" s="3" t="s">
        <v>1468</v>
      </c>
      <c r="AD96" s="3" t="s">
        <v>1469</v>
      </c>
      <c r="AE96" s="3" t="s">
        <v>79</v>
      </c>
      <c r="AF96" s="3" t="s">
        <v>79</v>
      </c>
      <c r="AG96" s="3" t="s">
        <v>79</v>
      </c>
      <c r="AH96" s="3" t="s">
        <v>79</v>
      </c>
      <c r="AI96" s="3" t="s">
        <v>79</v>
      </c>
      <c r="AJ96" s="3">
        <v>65.0</v>
      </c>
      <c r="AK96" s="3">
        <v>1.0</v>
      </c>
      <c r="AL96" s="3">
        <v>1.0</v>
      </c>
      <c r="AM96" s="3" t="s">
        <v>79</v>
      </c>
      <c r="AN96" s="3" t="s">
        <v>79</v>
      </c>
      <c r="AO96" s="3" t="s">
        <v>79</v>
      </c>
      <c r="AP96" s="3" t="s">
        <v>79</v>
      </c>
      <c r="AQ96" s="3" t="s">
        <v>79</v>
      </c>
      <c r="AR96" s="3" t="s">
        <v>79</v>
      </c>
      <c r="AS96" s="3" t="s">
        <v>79</v>
      </c>
      <c r="AT96" s="3" t="s">
        <v>79</v>
      </c>
      <c r="AU96" s="3" t="s">
        <v>79</v>
      </c>
      <c r="AV96" s="3" t="s">
        <v>79</v>
      </c>
      <c r="AW96" s="3" t="s">
        <v>785</v>
      </c>
      <c r="AX96" s="3">
        <v>2025.0</v>
      </c>
      <c r="AY96" s="3">
        <v>25.0</v>
      </c>
      <c r="AZ96" s="3">
        <v>3.0</v>
      </c>
      <c r="BA96" s="3" t="s">
        <v>79</v>
      </c>
      <c r="BB96" s="3" t="s">
        <v>79</v>
      </c>
      <c r="BC96" s="3" t="s">
        <v>79</v>
      </c>
      <c r="BD96" s="3" t="s">
        <v>79</v>
      </c>
      <c r="BE96" s="3" t="s">
        <v>79</v>
      </c>
      <c r="BF96" s="3" t="s">
        <v>79</v>
      </c>
      <c r="BG96" s="3">
        <v>610.0</v>
      </c>
      <c r="BH96" s="3" t="s">
        <v>1470</v>
      </c>
      <c r="BI96" s="8" t="str">
        <f>HYPERLINK("http://dx.doi.org/10.3390/s25030610","http://dx.doi.org/10.3390/s25030610")</f>
        <v>http://dx.doi.org/10.3390/s25030610</v>
      </c>
      <c r="BJ96" s="3" t="s">
        <v>79</v>
      </c>
      <c r="BK96" s="3" t="s">
        <v>79</v>
      </c>
      <c r="BL96" s="3" t="s">
        <v>79</v>
      </c>
      <c r="BM96" s="3" t="s">
        <v>79</v>
      </c>
      <c r="BN96" s="3" t="s">
        <v>79</v>
      </c>
      <c r="BO96" s="3" t="s">
        <v>246</v>
      </c>
      <c r="BP96" s="3" t="s">
        <v>79</v>
      </c>
      <c r="BQ96" s="3" t="s">
        <v>79</v>
      </c>
      <c r="BR96" s="3" t="s">
        <v>79</v>
      </c>
      <c r="BS96" s="3" t="s">
        <v>79</v>
      </c>
      <c r="BT96" s="3" t="s">
        <v>79</v>
      </c>
      <c r="BU96" s="3" t="s">
        <v>95</v>
      </c>
      <c r="BV96" s="3" t="s">
        <v>1471</v>
      </c>
      <c r="BW96" s="3" t="str">
        <f>HYPERLINK("https%3A%2F%2Fwww.webofscience.com%2Fwos%2Fwoscc%2Ffull-record%2FWOS:001419436600001","View Full Record in Web of Science")</f>
        <v>View Full Record in Web of Science</v>
      </c>
    </row>
    <row r="97" ht="12.75" customHeight="1">
      <c r="A97" s="5" t="s">
        <v>1402</v>
      </c>
      <c r="B97" s="10"/>
      <c r="C97" s="1">
        <v>10.0</v>
      </c>
      <c r="D97" s="3" t="s">
        <v>185</v>
      </c>
      <c r="E97" s="3" t="s">
        <v>1472</v>
      </c>
      <c r="F97" s="3" t="s">
        <v>79</v>
      </c>
      <c r="G97" s="3" t="s">
        <v>79</v>
      </c>
      <c r="H97" s="3" t="s">
        <v>79</v>
      </c>
      <c r="I97" s="3" t="s">
        <v>1473</v>
      </c>
      <c r="J97" s="3" t="s">
        <v>79</v>
      </c>
      <c r="K97" s="3" t="s">
        <v>79</v>
      </c>
      <c r="L97" s="3" t="s">
        <v>1474</v>
      </c>
      <c r="M97" s="3" t="s">
        <v>1475</v>
      </c>
      <c r="N97" s="3" t="s">
        <v>79</v>
      </c>
      <c r="O97" s="3" t="s">
        <v>79</v>
      </c>
      <c r="P97" s="3" t="s">
        <v>79</v>
      </c>
      <c r="Q97" s="3" t="s">
        <v>190</v>
      </c>
      <c r="R97" s="3" t="s">
        <v>79</v>
      </c>
      <c r="S97" s="3" t="s">
        <v>79</v>
      </c>
      <c r="T97" s="3" t="s">
        <v>79</v>
      </c>
      <c r="U97" s="3" t="s">
        <v>79</v>
      </c>
      <c r="V97" s="3" t="s">
        <v>79</v>
      </c>
      <c r="W97" s="3" t="s">
        <v>1476</v>
      </c>
      <c r="X97" s="3" t="s">
        <v>1477</v>
      </c>
      <c r="Y97" s="3" t="s">
        <v>1478</v>
      </c>
      <c r="Z97" s="3" t="s">
        <v>1479</v>
      </c>
      <c r="AA97" s="3" t="s">
        <v>1480</v>
      </c>
      <c r="AB97" s="3" t="s">
        <v>1481</v>
      </c>
      <c r="AC97" s="3" t="s">
        <v>1482</v>
      </c>
      <c r="AD97" s="3" t="s">
        <v>1087</v>
      </c>
      <c r="AE97" s="3" t="s">
        <v>1088</v>
      </c>
      <c r="AF97" s="3" t="s">
        <v>79</v>
      </c>
      <c r="AG97" s="3" t="s">
        <v>79</v>
      </c>
      <c r="AH97" s="3" t="s">
        <v>79</v>
      </c>
      <c r="AI97" s="3" t="s">
        <v>79</v>
      </c>
      <c r="AJ97" s="3">
        <v>51.0</v>
      </c>
      <c r="AK97" s="3">
        <v>44.0</v>
      </c>
      <c r="AL97" s="3">
        <v>50.0</v>
      </c>
      <c r="AM97" s="3" t="s">
        <v>79</v>
      </c>
      <c r="AN97" s="3" t="s">
        <v>79</v>
      </c>
      <c r="AO97" s="3" t="s">
        <v>79</v>
      </c>
      <c r="AP97" s="3" t="s">
        <v>79</v>
      </c>
      <c r="AQ97" s="3" t="s">
        <v>79</v>
      </c>
      <c r="AR97" s="3" t="s">
        <v>79</v>
      </c>
      <c r="AS97" s="3" t="s">
        <v>79</v>
      </c>
      <c r="AT97" s="3" t="s">
        <v>79</v>
      </c>
      <c r="AU97" s="3" t="s">
        <v>79</v>
      </c>
      <c r="AV97" s="3" t="s">
        <v>79</v>
      </c>
      <c r="AW97" s="3" t="s">
        <v>785</v>
      </c>
      <c r="AX97" s="3">
        <v>2022.0</v>
      </c>
      <c r="AY97" s="3">
        <v>10.0</v>
      </c>
      <c r="AZ97" s="3">
        <v>4.0</v>
      </c>
      <c r="BA97" s="3" t="s">
        <v>79</v>
      </c>
      <c r="BB97" s="3" t="s">
        <v>79</v>
      </c>
      <c r="BC97" s="3" t="s">
        <v>79</v>
      </c>
      <c r="BD97" s="3" t="s">
        <v>79</v>
      </c>
      <c r="BE97" s="3" t="s">
        <v>79</v>
      </c>
      <c r="BF97" s="3" t="s">
        <v>79</v>
      </c>
      <c r="BG97" s="3">
        <v>618.0</v>
      </c>
      <c r="BH97" s="3" t="s">
        <v>1483</v>
      </c>
      <c r="BI97" s="8" t="str">
        <f>HYPERLINK("http://dx.doi.org/10.3390/math10040618","http://dx.doi.org/10.3390/math10040618")</f>
        <v>http://dx.doi.org/10.3390/math10040618</v>
      </c>
      <c r="BJ97" s="3" t="s">
        <v>79</v>
      </c>
      <c r="BK97" s="3" t="s">
        <v>79</v>
      </c>
      <c r="BL97" s="3" t="s">
        <v>79</v>
      </c>
      <c r="BM97" s="3" t="s">
        <v>79</v>
      </c>
      <c r="BN97" s="3" t="s">
        <v>79</v>
      </c>
      <c r="BO97" s="3" t="s">
        <v>1484</v>
      </c>
      <c r="BP97" s="3" t="s">
        <v>79</v>
      </c>
      <c r="BQ97" s="3" t="s">
        <v>79</v>
      </c>
      <c r="BR97" s="3" t="s">
        <v>79</v>
      </c>
      <c r="BS97" s="3" t="s">
        <v>1485</v>
      </c>
      <c r="BT97" s="3" t="s">
        <v>79</v>
      </c>
      <c r="BU97" s="3" t="s">
        <v>95</v>
      </c>
      <c r="BV97" s="3" t="s">
        <v>1486</v>
      </c>
      <c r="BW97" s="3" t="str">
        <f>HYPERLINK("https%3A%2F%2Fwww.webofscience.com%2Fwos%2Fwoscc%2Ffull-record%2FWOS:000767506600001","View Full Record in Web of Science")</f>
        <v>View Full Record in Web of Science</v>
      </c>
    </row>
    <row r="98" ht="12.75" customHeight="1">
      <c r="A98" s="5" t="s">
        <v>1402</v>
      </c>
      <c r="B98" s="10"/>
      <c r="C98" s="1">
        <v>7.0</v>
      </c>
      <c r="D98" s="3" t="s">
        <v>185</v>
      </c>
      <c r="E98" s="3" t="s">
        <v>1487</v>
      </c>
      <c r="F98" s="3" t="s">
        <v>79</v>
      </c>
      <c r="G98" s="3" t="s">
        <v>79</v>
      </c>
      <c r="H98" s="3" t="s">
        <v>79</v>
      </c>
      <c r="I98" s="3" t="s">
        <v>1488</v>
      </c>
      <c r="J98" s="3" t="s">
        <v>79</v>
      </c>
      <c r="K98" s="3" t="s">
        <v>79</v>
      </c>
      <c r="L98" s="3" t="s">
        <v>1489</v>
      </c>
      <c r="M98" s="3" t="s">
        <v>410</v>
      </c>
      <c r="N98" s="3" t="s">
        <v>79</v>
      </c>
      <c r="O98" s="3" t="s">
        <v>79</v>
      </c>
      <c r="P98" s="3" t="s">
        <v>79</v>
      </c>
      <c r="Q98" s="3" t="s">
        <v>190</v>
      </c>
      <c r="R98" s="3" t="s">
        <v>79</v>
      </c>
      <c r="S98" s="3" t="s">
        <v>79</v>
      </c>
      <c r="T98" s="3" t="s">
        <v>79</v>
      </c>
      <c r="U98" s="3" t="s">
        <v>79</v>
      </c>
      <c r="V98" s="3" t="s">
        <v>79</v>
      </c>
      <c r="W98" s="3" t="s">
        <v>1490</v>
      </c>
      <c r="X98" s="3" t="s">
        <v>1491</v>
      </c>
      <c r="Y98" s="3" t="s">
        <v>1492</v>
      </c>
      <c r="Z98" s="3" t="s">
        <v>1493</v>
      </c>
      <c r="AA98" s="3" t="s">
        <v>1494</v>
      </c>
      <c r="AB98" s="3" t="s">
        <v>1495</v>
      </c>
      <c r="AC98" s="3" t="s">
        <v>1496</v>
      </c>
      <c r="AD98" s="3" t="s">
        <v>1497</v>
      </c>
      <c r="AE98" s="3" t="s">
        <v>1498</v>
      </c>
      <c r="AF98" s="3" t="s">
        <v>79</v>
      </c>
      <c r="AG98" s="3" t="s">
        <v>79</v>
      </c>
      <c r="AH98" s="3" t="s">
        <v>79</v>
      </c>
      <c r="AI98" s="3" t="s">
        <v>79</v>
      </c>
      <c r="AJ98" s="3">
        <v>50.0</v>
      </c>
      <c r="AK98" s="3">
        <v>15.0</v>
      </c>
      <c r="AL98" s="3">
        <v>16.0</v>
      </c>
      <c r="AM98" s="3" t="s">
        <v>79</v>
      </c>
      <c r="AN98" s="3" t="s">
        <v>79</v>
      </c>
      <c r="AO98" s="3" t="s">
        <v>79</v>
      </c>
      <c r="AP98" s="3" t="s">
        <v>79</v>
      </c>
      <c r="AQ98" s="3" t="s">
        <v>79</v>
      </c>
      <c r="AR98" s="3" t="s">
        <v>79</v>
      </c>
      <c r="AS98" s="3" t="s">
        <v>79</v>
      </c>
      <c r="AT98" s="3" t="s">
        <v>79</v>
      </c>
      <c r="AU98" s="3" t="s">
        <v>79</v>
      </c>
      <c r="AV98" s="3" t="s">
        <v>79</v>
      </c>
      <c r="AW98" s="3" t="s">
        <v>79</v>
      </c>
      <c r="AX98" s="3">
        <v>2023.0</v>
      </c>
      <c r="AY98" s="3">
        <v>31.0</v>
      </c>
      <c r="AZ98" s="3" t="s">
        <v>79</v>
      </c>
      <c r="BA98" s="3" t="s">
        <v>79</v>
      </c>
      <c r="BB98" s="3" t="s">
        <v>79</v>
      </c>
      <c r="BC98" s="3" t="s">
        <v>79</v>
      </c>
      <c r="BD98" s="3" t="s">
        <v>79</v>
      </c>
      <c r="BE98" s="3">
        <v>3075.0</v>
      </c>
      <c r="BF98" s="3">
        <v>3085.0</v>
      </c>
      <c r="BG98" s="3" t="s">
        <v>79</v>
      </c>
      <c r="BH98" s="3" t="s">
        <v>1499</v>
      </c>
      <c r="BI98" s="8" t="str">
        <f>HYPERLINK("http://dx.doi.org/10.1109/TNSRE.2023.3294815","http://dx.doi.org/10.1109/TNSRE.2023.3294815")</f>
        <v>http://dx.doi.org/10.1109/TNSRE.2023.3294815</v>
      </c>
      <c r="BJ98" s="3" t="s">
        <v>79</v>
      </c>
      <c r="BK98" s="3" t="s">
        <v>79</v>
      </c>
      <c r="BL98" s="3" t="s">
        <v>79</v>
      </c>
      <c r="BM98" s="3" t="s">
        <v>79</v>
      </c>
      <c r="BN98" s="3" t="s">
        <v>79</v>
      </c>
      <c r="BO98" s="3" t="s">
        <v>109</v>
      </c>
      <c r="BP98" s="3" t="s">
        <v>79</v>
      </c>
      <c r="BQ98" s="3" t="s">
        <v>79</v>
      </c>
      <c r="BR98" s="3" t="s">
        <v>79</v>
      </c>
      <c r="BS98" s="3" t="s">
        <v>79</v>
      </c>
      <c r="BT98" s="3" t="s">
        <v>79</v>
      </c>
      <c r="BU98" s="3" t="s">
        <v>95</v>
      </c>
      <c r="BV98" s="3" t="s">
        <v>1500</v>
      </c>
      <c r="BW98" s="3" t="str">
        <f>HYPERLINK("https%3A%2F%2Fwww.webofscience.com%2Fwos%2Fwoscc%2Ffull-record%2FWOS:001041977800001","View Full Record in Web of Science")</f>
        <v>View Full Record in Web of Science</v>
      </c>
    </row>
    <row r="99" ht="12.75" customHeight="1">
      <c r="A99" s="5" t="s">
        <v>1402</v>
      </c>
      <c r="B99" s="10"/>
      <c r="C99" s="1">
        <v>4.0</v>
      </c>
      <c r="D99" s="3" t="s">
        <v>185</v>
      </c>
      <c r="E99" s="3" t="s">
        <v>1501</v>
      </c>
      <c r="F99" s="3" t="s">
        <v>79</v>
      </c>
      <c r="G99" s="3" t="s">
        <v>79</v>
      </c>
      <c r="H99" s="3" t="s">
        <v>79</v>
      </c>
      <c r="I99" s="3" t="s">
        <v>1502</v>
      </c>
      <c r="J99" s="3" t="s">
        <v>79</v>
      </c>
      <c r="K99" s="3" t="s">
        <v>79</v>
      </c>
      <c r="L99" s="3" t="s">
        <v>1503</v>
      </c>
      <c r="M99" s="3" t="s">
        <v>1504</v>
      </c>
      <c r="N99" s="3" t="s">
        <v>79</v>
      </c>
      <c r="O99" s="3" t="s">
        <v>79</v>
      </c>
      <c r="P99" s="3" t="s">
        <v>79</v>
      </c>
      <c r="Q99" s="3" t="s">
        <v>190</v>
      </c>
      <c r="R99" s="3" t="s">
        <v>79</v>
      </c>
      <c r="S99" s="3" t="s">
        <v>79</v>
      </c>
      <c r="T99" s="3" t="s">
        <v>79</v>
      </c>
      <c r="U99" s="3" t="s">
        <v>79</v>
      </c>
      <c r="V99" s="3" t="s">
        <v>79</v>
      </c>
      <c r="W99" s="3" t="s">
        <v>1505</v>
      </c>
      <c r="X99" s="3" t="s">
        <v>1506</v>
      </c>
      <c r="Y99" s="3" t="s">
        <v>1507</v>
      </c>
      <c r="Z99" s="3" t="s">
        <v>1508</v>
      </c>
      <c r="AA99" s="3" t="s">
        <v>1509</v>
      </c>
      <c r="AB99" s="3" t="s">
        <v>1510</v>
      </c>
      <c r="AC99" s="3" t="s">
        <v>1511</v>
      </c>
      <c r="AD99" s="3" t="s">
        <v>1512</v>
      </c>
      <c r="AE99" s="3" t="s">
        <v>1513</v>
      </c>
      <c r="AF99" s="3" t="s">
        <v>79</v>
      </c>
      <c r="AG99" s="3" t="s">
        <v>79</v>
      </c>
      <c r="AH99" s="3" t="s">
        <v>79</v>
      </c>
      <c r="AI99" s="3" t="s">
        <v>79</v>
      </c>
      <c r="AJ99" s="3">
        <v>28.0</v>
      </c>
      <c r="AK99" s="3">
        <v>30.0</v>
      </c>
      <c r="AL99" s="3">
        <v>33.0</v>
      </c>
      <c r="AM99" s="3" t="s">
        <v>79</v>
      </c>
      <c r="AN99" s="3" t="s">
        <v>79</v>
      </c>
      <c r="AO99" s="3" t="s">
        <v>79</v>
      </c>
      <c r="AP99" s="3" t="s">
        <v>79</v>
      </c>
      <c r="AQ99" s="3" t="s">
        <v>79</v>
      </c>
      <c r="AR99" s="3" t="s">
        <v>79</v>
      </c>
      <c r="AS99" s="3" t="s">
        <v>79</v>
      </c>
      <c r="AT99" s="3" t="s">
        <v>79</v>
      </c>
      <c r="AU99" s="3" t="s">
        <v>79</v>
      </c>
      <c r="AV99" s="3" t="s">
        <v>79</v>
      </c>
      <c r="AW99" s="3" t="s">
        <v>79</v>
      </c>
      <c r="AX99" s="3">
        <v>2017.0</v>
      </c>
      <c r="AY99" s="3">
        <v>9.0</v>
      </c>
      <c r="AZ99" s="3">
        <v>3.0</v>
      </c>
      <c r="BA99" s="3" t="s">
        <v>79</v>
      </c>
      <c r="BB99" s="3" t="s">
        <v>79</v>
      </c>
      <c r="BC99" s="3" t="s">
        <v>79</v>
      </c>
      <c r="BD99" s="3" t="s">
        <v>79</v>
      </c>
      <c r="BE99" s="3">
        <v>31.0</v>
      </c>
      <c r="BF99" s="3">
        <v>36.0</v>
      </c>
      <c r="BG99" s="3" t="s">
        <v>79</v>
      </c>
      <c r="BH99" s="3" t="s">
        <v>1514</v>
      </c>
      <c r="BI99" s="8" t="str">
        <f>HYPERLINK("http://dx.doi.org/10.17691/stm2017.9.3.04","http://dx.doi.org/10.17691/stm2017.9.3.04")</f>
        <v>http://dx.doi.org/10.17691/stm2017.9.3.04</v>
      </c>
      <c r="BJ99" s="3" t="s">
        <v>79</v>
      </c>
      <c r="BK99" s="3" t="s">
        <v>79</v>
      </c>
      <c r="BL99" s="3" t="s">
        <v>79</v>
      </c>
      <c r="BM99" s="3" t="s">
        <v>79</v>
      </c>
      <c r="BN99" s="3" t="s">
        <v>79</v>
      </c>
      <c r="BO99" s="3" t="s">
        <v>1515</v>
      </c>
      <c r="BP99" s="3" t="s">
        <v>79</v>
      </c>
      <c r="BQ99" s="3" t="s">
        <v>79</v>
      </c>
      <c r="BR99" s="3" t="s">
        <v>79</v>
      </c>
      <c r="BS99" s="3" t="s">
        <v>79</v>
      </c>
      <c r="BT99" s="3" t="s">
        <v>79</v>
      </c>
      <c r="BU99" s="3" t="s">
        <v>95</v>
      </c>
      <c r="BV99" s="3" t="s">
        <v>1516</v>
      </c>
      <c r="BW99" s="3" t="str">
        <f>HYPERLINK("https%3A%2F%2Fwww.webofscience.com%2Fwos%2Fwoscc%2Ffull-record%2FWOS:000417393300004","View Full Record in Web of Science")</f>
        <v>View Full Record in Web of Science</v>
      </c>
    </row>
    <row r="100" ht="12.75" customHeight="1">
      <c r="A100" s="5" t="s">
        <v>1402</v>
      </c>
      <c r="B100" s="10"/>
      <c r="C100" s="1">
        <v>5.0</v>
      </c>
      <c r="D100" s="3" t="s">
        <v>77</v>
      </c>
      <c r="E100" s="3" t="s">
        <v>1517</v>
      </c>
      <c r="F100" s="3" t="s">
        <v>79</v>
      </c>
      <c r="G100" s="3" t="s">
        <v>1518</v>
      </c>
      <c r="H100" s="3" t="s">
        <v>79</v>
      </c>
      <c r="I100" s="3" t="s">
        <v>1519</v>
      </c>
      <c r="J100" s="3" t="s">
        <v>79</v>
      </c>
      <c r="K100" s="3" t="s">
        <v>79</v>
      </c>
      <c r="L100" s="3" t="s">
        <v>1520</v>
      </c>
      <c r="M100" s="3" t="s">
        <v>1521</v>
      </c>
      <c r="N100" s="3" t="s">
        <v>79</v>
      </c>
      <c r="O100" s="3" t="s">
        <v>79</v>
      </c>
      <c r="P100" s="3" t="s">
        <v>79</v>
      </c>
      <c r="Q100" s="3" t="s">
        <v>84</v>
      </c>
      <c r="R100" s="3" t="s">
        <v>79</v>
      </c>
      <c r="S100" s="3" t="s">
        <v>79</v>
      </c>
      <c r="T100" s="3" t="s">
        <v>79</v>
      </c>
      <c r="U100" s="3" t="s">
        <v>79</v>
      </c>
      <c r="V100" s="3" t="s">
        <v>79</v>
      </c>
      <c r="W100" s="3" t="s">
        <v>1522</v>
      </c>
      <c r="X100" s="3" t="s">
        <v>1523</v>
      </c>
      <c r="Y100" s="3" t="s">
        <v>1524</v>
      </c>
      <c r="Z100" s="3" t="s">
        <v>1525</v>
      </c>
      <c r="AA100" s="3" t="s">
        <v>1526</v>
      </c>
      <c r="AB100" s="3" t="s">
        <v>1527</v>
      </c>
      <c r="AC100" s="3" t="s">
        <v>79</v>
      </c>
      <c r="AD100" s="3" t="s">
        <v>79</v>
      </c>
      <c r="AE100" s="3" t="s">
        <v>79</v>
      </c>
      <c r="AF100" s="3" t="s">
        <v>79</v>
      </c>
      <c r="AG100" s="3" t="s">
        <v>79</v>
      </c>
      <c r="AH100" s="3" t="s">
        <v>79</v>
      </c>
      <c r="AI100" s="3" t="s">
        <v>79</v>
      </c>
      <c r="AJ100" s="3">
        <v>26.0</v>
      </c>
      <c r="AK100" s="3">
        <v>2.0</v>
      </c>
      <c r="AL100" s="3">
        <v>3.0</v>
      </c>
      <c r="AM100" s="3" t="s">
        <v>79</v>
      </c>
      <c r="AN100" s="3" t="s">
        <v>79</v>
      </c>
      <c r="AO100" s="3" t="s">
        <v>79</v>
      </c>
      <c r="AP100" s="3" t="s">
        <v>79</v>
      </c>
      <c r="AQ100" s="3" t="s">
        <v>79</v>
      </c>
      <c r="AR100" s="3" t="s">
        <v>79</v>
      </c>
      <c r="AS100" s="3" t="s">
        <v>79</v>
      </c>
      <c r="AT100" s="3" t="s">
        <v>79</v>
      </c>
      <c r="AU100" s="3" t="s">
        <v>79</v>
      </c>
      <c r="AV100" s="3" t="s">
        <v>79</v>
      </c>
      <c r="AW100" s="3" t="s">
        <v>79</v>
      </c>
      <c r="AX100" s="3">
        <v>2014.0</v>
      </c>
      <c r="AY100" s="3" t="s">
        <v>79</v>
      </c>
      <c r="AZ100" s="3" t="s">
        <v>79</v>
      </c>
      <c r="BA100" s="3" t="s">
        <v>79</v>
      </c>
      <c r="BB100" s="3" t="s">
        <v>79</v>
      </c>
      <c r="BC100" s="3" t="s">
        <v>79</v>
      </c>
      <c r="BD100" s="3" t="s">
        <v>79</v>
      </c>
      <c r="BE100" s="3">
        <v>319.0</v>
      </c>
      <c r="BF100" s="3">
        <v>322.0</v>
      </c>
      <c r="BG100" s="3" t="s">
        <v>79</v>
      </c>
      <c r="BH100" s="3" t="s">
        <v>79</v>
      </c>
      <c r="BI100" s="3" t="s">
        <v>79</v>
      </c>
      <c r="BJ100" s="3" t="s">
        <v>79</v>
      </c>
      <c r="BK100" s="3" t="s">
        <v>79</v>
      </c>
      <c r="BL100" s="3" t="s">
        <v>79</v>
      </c>
      <c r="BM100" s="3" t="s">
        <v>79</v>
      </c>
      <c r="BN100" s="3" t="s">
        <v>79</v>
      </c>
      <c r="BO100" s="3" t="s">
        <v>152</v>
      </c>
      <c r="BP100" s="3" t="s">
        <v>79</v>
      </c>
      <c r="BQ100" s="3" t="s">
        <v>79</v>
      </c>
      <c r="BR100" s="3" t="s">
        <v>79</v>
      </c>
      <c r="BS100" s="3" t="s">
        <v>79</v>
      </c>
      <c r="BT100" s="3" t="s">
        <v>79</v>
      </c>
      <c r="BU100" s="3" t="s">
        <v>95</v>
      </c>
      <c r="BV100" s="3" t="s">
        <v>1528</v>
      </c>
      <c r="BW100" s="3" t="str">
        <f>HYPERLINK("https%3A%2F%2Fwww.webofscience.com%2Fwos%2Fwoscc%2Ffull-record%2FWOS:000340611200073","View Full Record in Web of Science")</f>
        <v>View Full Record in Web of Science</v>
      </c>
    </row>
    <row r="101" ht="12.75" customHeight="1">
      <c r="A101" s="5" t="s">
        <v>1402</v>
      </c>
      <c r="B101" s="10"/>
      <c r="C101" s="1">
        <v>6.0</v>
      </c>
      <c r="D101" s="3" t="s">
        <v>77</v>
      </c>
      <c r="E101" s="3" t="s">
        <v>170</v>
      </c>
      <c r="F101" s="3" t="s">
        <v>79</v>
      </c>
      <c r="G101" s="3" t="s">
        <v>79</v>
      </c>
      <c r="H101" s="3" t="s">
        <v>80</v>
      </c>
      <c r="I101" s="3" t="s">
        <v>171</v>
      </c>
      <c r="J101" s="3" t="s">
        <v>79</v>
      </c>
      <c r="K101" s="3" t="s">
        <v>79</v>
      </c>
      <c r="L101" s="3" t="s">
        <v>1529</v>
      </c>
      <c r="M101" s="3" t="s">
        <v>1530</v>
      </c>
      <c r="N101" s="3" t="s">
        <v>1531</v>
      </c>
      <c r="O101" s="3" t="s">
        <v>79</v>
      </c>
      <c r="P101" s="3" t="s">
        <v>79</v>
      </c>
      <c r="Q101" s="3" t="s">
        <v>84</v>
      </c>
      <c r="R101" s="3" t="s">
        <v>79</v>
      </c>
      <c r="S101" s="3" t="s">
        <v>79</v>
      </c>
      <c r="T101" s="3" t="s">
        <v>79</v>
      </c>
      <c r="U101" s="3" t="s">
        <v>79</v>
      </c>
      <c r="V101" s="3" t="s">
        <v>79</v>
      </c>
      <c r="W101" s="3" t="s">
        <v>1532</v>
      </c>
      <c r="X101" s="3" t="s">
        <v>1533</v>
      </c>
      <c r="Y101" s="3" t="s">
        <v>1534</v>
      </c>
      <c r="Z101" s="3" t="s">
        <v>1535</v>
      </c>
      <c r="AA101" s="3" t="s">
        <v>178</v>
      </c>
      <c r="AB101" s="3" t="s">
        <v>1536</v>
      </c>
      <c r="AC101" s="3" t="s">
        <v>180</v>
      </c>
      <c r="AD101" s="3" t="s">
        <v>181</v>
      </c>
      <c r="AE101" s="3" t="s">
        <v>182</v>
      </c>
      <c r="AF101" s="3" t="s">
        <v>79</v>
      </c>
      <c r="AG101" s="3" t="s">
        <v>79</v>
      </c>
      <c r="AH101" s="3" t="s">
        <v>79</v>
      </c>
      <c r="AI101" s="3" t="s">
        <v>79</v>
      </c>
      <c r="AJ101" s="3">
        <v>23.0</v>
      </c>
      <c r="AK101" s="3">
        <v>23.0</v>
      </c>
      <c r="AL101" s="3">
        <v>25.0</v>
      </c>
      <c r="AM101" s="3" t="s">
        <v>79</v>
      </c>
      <c r="AN101" s="3" t="s">
        <v>79</v>
      </c>
      <c r="AO101" s="3" t="s">
        <v>79</v>
      </c>
      <c r="AP101" s="3" t="s">
        <v>79</v>
      </c>
      <c r="AQ101" s="3" t="s">
        <v>79</v>
      </c>
      <c r="AR101" s="3" t="s">
        <v>79</v>
      </c>
      <c r="AS101" s="3" t="s">
        <v>79</v>
      </c>
      <c r="AT101" s="3" t="s">
        <v>79</v>
      </c>
      <c r="AU101" s="3" t="s">
        <v>79</v>
      </c>
      <c r="AV101" s="3" t="s">
        <v>79</v>
      </c>
      <c r="AW101" s="3" t="s">
        <v>79</v>
      </c>
      <c r="AX101" s="3">
        <v>2014.0</v>
      </c>
      <c r="AY101" s="3" t="s">
        <v>79</v>
      </c>
      <c r="AZ101" s="3" t="s">
        <v>79</v>
      </c>
      <c r="BA101" s="3" t="s">
        <v>79</v>
      </c>
      <c r="BB101" s="3" t="s">
        <v>79</v>
      </c>
      <c r="BC101" s="3" t="s">
        <v>79</v>
      </c>
      <c r="BD101" s="3" t="s">
        <v>79</v>
      </c>
      <c r="BE101" s="3">
        <v>275.0</v>
      </c>
      <c r="BF101" s="3">
        <v>278.0</v>
      </c>
      <c r="BG101" s="3" t="s">
        <v>79</v>
      </c>
      <c r="BH101" s="3" t="s">
        <v>79</v>
      </c>
      <c r="BI101" s="3" t="s">
        <v>79</v>
      </c>
      <c r="BJ101" s="3" t="s">
        <v>79</v>
      </c>
      <c r="BK101" s="3" t="s">
        <v>79</v>
      </c>
      <c r="BL101" s="3" t="s">
        <v>79</v>
      </c>
      <c r="BM101" s="3" t="s">
        <v>79</v>
      </c>
      <c r="BN101" s="3" t="s">
        <v>79</v>
      </c>
      <c r="BO101" s="3" t="s">
        <v>1329</v>
      </c>
      <c r="BP101" s="3" t="s">
        <v>79</v>
      </c>
      <c r="BQ101" s="3" t="s">
        <v>79</v>
      </c>
      <c r="BR101" s="3" t="s">
        <v>79</v>
      </c>
      <c r="BS101" s="3" t="s">
        <v>79</v>
      </c>
      <c r="BT101" s="3" t="s">
        <v>79</v>
      </c>
      <c r="BU101" s="3" t="s">
        <v>95</v>
      </c>
      <c r="BV101" s="3" t="s">
        <v>1537</v>
      </c>
      <c r="BW101" s="3" t="str">
        <f>HYPERLINK("https%3A%2F%2Fwww.webofscience.com%2Fwos%2Fwoscc%2Ffull-record%2FWOS:000392834400054","View Full Record in Web of Science")</f>
        <v>View Full Record in Web of Science</v>
      </c>
    </row>
    <row r="102" ht="12.75" customHeight="1">
      <c r="B102" s="10"/>
    </row>
    <row r="103" ht="12.75" customHeight="1">
      <c r="A103" s="11"/>
      <c r="B103" s="12"/>
      <c r="C103" s="13"/>
      <c r="D103" s="13" t="s">
        <v>77</v>
      </c>
      <c r="E103" s="3" t="s">
        <v>1538</v>
      </c>
      <c r="F103" s="3" t="s">
        <v>79</v>
      </c>
      <c r="G103" s="3" t="s">
        <v>79</v>
      </c>
      <c r="H103" s="3" t="s">
        <v>80</v>
      </c>
      <c r="I103" s="3" t="s">
        <v>1539</v>
      </c>
      <c r="J103" s="3" t="s">
        <v>79</v>
      </c>
      <c r="K103" s="3" t="s">
        <v>79</v>
      </c>
      <c r="L103" s="3" t="s">
        <v>1540</v>
      </c>
      <c r="M103" s="3" t="s">
        <v>1541</v>
      </c>
      <c r="N103" s="3" t="s">
        <v>1542</v>
      </c>
      <c r="O103" s="3" t="s">
        <v>79</v>
      </c>
      <c r="P103" s="3" t="s">
        <v>79</v>
      </c>
      <c r="Q103" s="3" t="s">
        <v>84</v>
      </c>
      <c r="R103" s="3" t="s">
        <v>79</v>
      </c>
      <c r="S103" s="3" t="s">
        <v>79</v>
      </c>
      <c r="T103" s="3" t="s">
        <v>79</v>
      </c>
      <c r="U103" s="3" t="s">
        <v>79</v>
      </c>
      <c r="V103" s="3" t="s">
        <v>79</v>
      </c>
      <c r="W103" s="3" t="s">
        <v>1543</v>
      </c>
      <c r="X103" s="3" t="s">
        <v>1544</v>
      </c>
      <c r="Y103" s="3" t="s">
        <v>1545</v>
      </c>
      <c r="Z103" s="3" t="s">
        <v>1546</v>
      </c>
      <c r="AA103" s="3" t="s">
        <v>1547</v>
      </c>
      <c r="AB103" s="3" t="s">
        <v>1548</v>
      </c>
      <c r="AC103" s="3" t="s">
        <v>1549</v>
      </c>
      <c r="AD103" s="3" t="s">
        <v>1550</v>
      </c>
      <c r="AE103" s="3" t="s">
        <v>79</v>
      </c>
      <c r="AF103" s="3" t="s">
        <v>79</v>
      </c>
      <c r="AG103" s="3" t="s">
        <v>79</v>
      </c>
      <c r="AH103" s="3" t="s">
        <v>79</v>
      </c>
      <c r="AI103" s="3" t="s">
        <v>79</v>
      </c>
      <c r="AJ103" s="3">
        <v>14.0</v>
      </c>
      <c r="AK103" s="3">
        <v>0.0</v>
      </c>
      <c r="AL103" s="3">
        <v>0.0</v>
      </c>
      <c r="AM103" s="3" t="s">
        <v>79</v>
      </c>
      <c r="AN103" s="3" t="s">
        <v>79</v>
      </c>
      <c r="AO103" s="3" t="s">
        <v>79</v>
      </c>
      <c r="AP103" s="3" t="s">
        <v>79</v>
      </c>
      <c r="AQ103" s="3" t="s">
        <v>79</v>
      </c>
      <c r="AR103" s="3" t="s">
        <v>79</v>
      </c>
      <c r="AS103" s="3" t="s">
        <v>79</v>
      </c>
      <c r="AT103" s="3" t="s">
        <v>79</v>
      </c>
      <c r="AU103" s="3" t="s">
        <v>79</v>
      </c>
      <c r="AV103" s="3" t="s">
        <v>79</v>
      </c>
      <c r="AW103" s="3" t="s">
        <v>79</v>
      </c>
      <c r="AX103" s="3">
        <v>2017.0</v>
      </c>
      <c r="AY103" s="3" t="s">
        <v>79</v>
      </c>
      <c r="AZ103" s="3" t="s">
        <v>79</v>
      </c>
      <c r="BA103" s="3" t="s">
        <v>79</v>
      </c>
      <c r="BB103" s="3" t="s">
        <v>79</v>
      </c>
      <c r="BC103" s="3" t="s">
        <v>79</v>
      </c>
      <c r="BD103" s="3" t="s">
        <v>79</v>
      </c>
      <c r="BE103" s="3">
        <v>398.0</v>
      </c>
      <c r="BF103" s="3">
        <v>401.0</v>
      </c>
      <c r="BG103" s="3" t="s">
        <v>79</v>
      </c>
      <c r="BH103" s="3" t="s">
        <v>1551</v>
      </c>
      <c r="BI103" s="8" t="str">
        <f>HYPERLINK("http://dx.doi.org/10.1109/ISCID.2017.16","http://dx.doi.org/10.1109/ISCID.2017.16")</f>
        <v>http://dx.doi.org/10.1109/ISCID.2017.16</v>
      </c>
      <c r="BJ103" s="3" t="s">
        <v>79</v>
      </c>
      <c r="BK103" s="3" t="s">
        <v>79</v>
      </c>
      <c r="BL103" s="3" t="s">
        <v>79</v>
      </c>
      <c r="BM103" s="3" t="s">
        <v>79</v>
      </c>
      <c r="BN103" s="3" t="s">
        <v>79</v>
      </c>
      <c r="BO103" s="3" t="s">
        <v>152</v>
      </c>
      <c r="BP103" s="3" t="s">
        <v>79</v>
      </c>
      <c r="BQ103" s="3" t="s">
        <v>79</v>
      </c>
      <c r="BR103" s="3" t="s">
        <v>79</v>
      </c>
      <c r="BS103" s="3" t="s">
        <v>79</v>
      </c>
      <c r="BT103" s="3" t="s">
        <v>79</v>
      </c>
      <c r="BU103" s="3" t="s">
        <v>95</v>
      </c>
      <c r="BV103" s="3" t="s">
        <v>1552</v>
      </c>
      <c r="BW103" s="3" t="str">
        <f>HYPERLINK("https%3A%2F%2Fwww.webofscience.com%2Fwos%2Fwoscc%2Ffull-record%2FWOS:000427991100091","View Full Record in Web of Science")</f>
        <v>View Full Record in Web of Science</v>
      </c>
    </row>
    <row r="104" ht="12.75" customHeight="1">
      <c r="A104" s="11"/>
      <c r="B104" s="12"/>
      <c r="C104" s="13"/>
      <c r="D104" s="13" t="s">
        <v>185</v>
      </c>
      <c r="E104" s="3" t="s">
        <v>1553</v>
      </c>
      <c r="F104" s="3" t="s">
        <v>79</v>
      </c>
      <c r="G104" s="3" t="s">
        <v>79</v>
      </c>
      <c r="H104" s="3" t="s">
        <v>79</v>
      </c>
      <c r="I104" s="3" t="s">
        <v>1554</v>
      </c>
      <c r="J104" s="3" t="s">
        <v>79</v>
      </c>
      <c r="K104" s="3" t="s">
        <v>79</v>
      </c>
      <c r="L104" s="3" t="s">
        <v>1555</v>
      </c>
      <c r="M104" s="3" t="s">
        <v>1556</v>
      </c>
      <c r="N104" s="3" t="s">
        <v>79</v>
      </c>
      <c r="O104" s="3" t="s">
        <v>79</v>
      </c>
      <c r="P104" s="3" t="s">
        <v>79</v>
      </c>
      <c r="Q104" s="3" t="s">
        <v>190</v>
      </c>
      <c r="R104" s="3" t="s">
        <v>79</v>
      </c>
      <c r="S104" s="3" t="s">
        <v>79</v>
      </c>
      <c r="T104" s="3" t="s">
        <v>79</v>
      </c>
      <c r="U104" s="3" t="s">
        <v>79</v>
      </c>
      <c r="V104" s="3" t="s">
        <v>79</v>
      </c>
      <c r="W104" s="3" t="s">
        <v>1557</v>
      </c>
      <c r="X104" s="3" t="s">
        <v>1558</v>
      </c>
      <c r="Y104" s="3" t="s">
        <v>1559</v>
      </c>
      <c r="Z104" s="3" t="s">
        <v>1560</v>
      </c>
      <c r="AA104" s="3" t="s">
        <v>1561</v>
      </c>
      <c r="AB104" s="3" t="s">
        <v>1562</v>
      </c>
      <c r="AC104" s="3" t="s">
        <v>1563</v>
      </c>
      <c r="AD104" s="3" t="s">
        <v>1564</v>
      </c>
      <c r="AE104" s="3" t="s">
        <v>1565</v>
      </c>
      <c r="AF104" s="3" t="s">
        <v>79</v>
      </c>
      <c r="AG104" s="3" t="s">
        <v>79</v>
      </c>
      <c r="AH104" s="3" t="s">
        <v>79</v>
      </c>
      <c r="AI104" s="3" t="s">
        <v>79</v>
      </c>
      <c r="AJ104" s="3">
        <v>26.0</v>
      </c>
      <c r="AK104" s="3">
        <v>89.0</v>
      </c>
      <c r="AL104" s="3">
        <v>100.0</v>
      </c>
      <c r="AM104" s="3" t="s">
        <v>79</v>
      </c>
      <c r="AN104" s="3" t="s">
        <v>79</v>
      </c>
      <c r="AO104" s="3" t="s">
        <v>79</v>
      </c>
      <c r="AP104" s="3" t="s">
        <v>79</v>
      </c>
      <c r="AQ104" s="3" t="s">
        <v>79</v>
      </c>
      <c r="AR104" s="3" t="s">
        <v>79</v>
      </c>
      <c r="AS104" s="3" t="s">
        <v>79</v>
      </c>
      <c r="AT104" s="3" t="s">
        <v>79</v>
      </c>
      <c r="AU104" s="3" t="s">
        <v>79</v>
      </c>
      <c r="AV104" s="3" t="s">
        <v>79</v>
      </c>
      <c r="AW104" s="3" t="s">
        <v>1239</v>
      </c>
      <c r="AX104" s="3">
        <v>2014.0</v>
      </c>
      <c r="AY104" s="3">
        <v>8.0</v>
      </c>
      <c r="AZ104" s="3">
        <v>5.0</v>
      </c>
      <c r="BA104" s="3" t="s">
        <v>79</v>
      </c>
      <c r="BB104" s="3" t="s">
        <v>79</v>
      </c>
      <c r="BC104" s="3" t="s">
        <v>79</v>
      </c>
      <c r="BD104" s="3" t="s">
        <v>79</v>
      </c>
      <c r="BE104" s="3">
        <v>399.0</v>
      </c>
      <c r="BF104" s="3">
        <v>409.0</v>
      </c>
      <c r="BG104" s="3" t="s">
        <v>79</v>
      </c>
      <c r="BH104" s="3" t="s">
        <v>1566</v>
      </c>
      <c r="BI104" s="8" t="str">
        <f>HYPERLINK("http://dx.doi.org/10.1007/s11571-014-9296-y","http://dx.doi.org/10.1007/s11571-014-9296-y")</f>
        <v>http://dx.doi.org/10.1007/s11571-014-9296-y</v>
      </c>
      <c r="BJ104" s="3" t="s">
        <v>79</v>
      </c>
      <c r="BK104" s="3" t="s">
        <v>79</v>
      </c>
      <c r="BL104" s="3" t="s">
        <v>79</v>
      </c>
      <c r="BM104" s="3" t="s">
        <v>79</v>
      </c>
      <c r="BN104" s="3" t="s">
        <v>79</v>
      </c>
      <c r="BO104" s="3" t="s">
        <v>202</v>
      </c>
      <c r="BP104" s="3" t="s">
        <v>79</v>
      </c>
      <c r="BQ104" s="3" t="s">
        <v>79</v>
      </c>
      <c r="BR104" s="3" t="s">
        <v>79</v>
      </c>
      <c r="BS104" s="3" t="s">
        <v>79</v>
      </c>
      <c r="BT104" s="3" t="s">
        <v>79</v>
      </c>
      <c r="BU104" s="3" t="s">
        <v>95</v>
      </c>
      <c r="BV104" s="3" t="s">
        <v>1567</v>
      </c>
      <c r="BW104" s="3" t="str">
        <f>HYPERLINK("https%3A%2F%2Fwww.webofscience.com%2Fwos%2Fwoscc%2Ffull-record%2FWOS:000341809400005","View Full Record in Web of Science")</f>
        <v>View Full Record in Web of Science</v>
      </c>
    </row>
    <row r="105" ht="12.75" customHeight="1">
      <c r="A105" s="11"/>
      <c r="B105" s="12"/>
      <c r="C105" s="13"/>
      <c r="D105" s="13" t="s">
        <v>77</v>
      </c>
      <c r="E105" s="3" t="s">
        <v>1568</v>
      </c>
      <c r="F105" s="3" t="s">
        <v>79</v>
      </c>
      <c r="G105" s="3" t="s">
        <v>79</v>
      </c>
      <c r="H105" s="3" t="s">
        <v>80</v>
      </c>
      <c r="I105" s="3" t="s">
        <v>1569</v>
      </c>
      <c r="J105" s="3" t="s">
        <v>79</v>
      </c>
      <c r="K105" s="3" t="s">
        <v>79</v>
      </c>
      <c r="L105" s="3" t="s">
        <v>1570</v>
      </c>
      <c r="M105" s="3" t="s">
        <v>1571</v>
      </c>
      <c r="N105" s="3" t="s">
        <v>703</v>
      </c>
      <c r="O105" s="3" t="s">
        <v>79</v>
      </c>
      <c r="P105" s="3" t="s">
        <v>79</v>
      </c>
      <c r="Q105" s="3" t="s">
        <v>84</v>
      </c>
      <c r="R105" s="3" t="s">
        <v>79</v>
      </c>
      <c r="S105" s="3" t="s">
        <v>79</v>
      </c>
      <c r="T105" s="3" t="s">
        <v>79</v>
      </c>
      <c r="U105" s="3" t="s">
        <v>79</v>
      </c>
      <c r="V105" s="3" t="s">
        <v>79</v>
      </c>
      <c r="W105" s="3" t="s">
        <v>1572</v>
      </c>
      <c r="X105" s="3" t="s">
        <v>79</v>
      </c>
      <c r="Y105" s="3" t="s">
        <v>1573</v>
      </c>
      <c r="Z105" s="3" t="s">
        <v>1574</v>
      </c>
      <c r="AA105" s="3" t="s">
        <v>1072</v>
      </c>
      <c r="AB105" s="3" t="s">
        <v>510</v>
      </c>
      <c r="AC105" s="3" t="s">
        <v>1575</v>
      </c>
      <c r="AD105" s="3" t="s">
        <v>1576</v>
      </c>
      <c r="AE105" s="3" t="s">
        <v>1577</v>
      </c>
      <c r="AF105" s="3" t="s">
        <v>79</v>
      </c>
      <c r="AG105" s="3" t="s">
        <v>79</v>
      </c>
      <c r="AH105" s="3" t="s">
        <v>79</v>
      </c>
      <c r="AI105" s="3" t="s">
        <v>79</v>
      </c>
      <c r="AJ105" s="3">
        <v>13.0</v>
      </c>
      <c r="AK105" s="3">
        <v>40.0</v>
      </c>
      <c r="AL105" s="3">
        <v>45.0</v>
      </c>
      <c r="AM105" s="3" t="s">
        <v>79</v>
      </c>
      <c r="AN105" s="3" t="s">
        <v>79</v>
      </c>
      <c r="AO105" s="3" t="s">
        <v>79</v>
      </c>
      <c r="AP105" s="3" t="s">
        <v>79</v>
      </c>
      <c r="AQ105" s="3" t="s">
        <v>79</v>
      </c>
      <c r="AR105" s="3" t="s">
        <v>79</v>
      </c>
      <c r="AS105" s="3" t="s">
        <v>79</v>
      </c>
      <c r="AT105" s="3" t="s">
        <v>79</v>
      </c>
      <c r="AU105" s="3" t="s">
        <v>79</v>
      </c>
      <c r="AV105" s="3" t="s">
        <v>79</v>
      </c>
      <c r="AW105" s="3" t="s">
        <v>79</v>
      </c>
      <c r="AX105" s="3">
        <v>2018.0</v>
      </c>
      <c r="AY105" s="3" t="s">
        <v>79</v>
      </c>
      <c r="AZ105" s="3" t="s">
        <v>79</v>
      </c>
      <c r="BA105" s="3" t="s">
        <v>79</v>
      </c>
      <c r="BB105" s="3" t="s">
        <v>79</v>
      </c>
      <c r="BC105" s="3" t="s">
        <v>79</v>
      </c>
      <c r="BD105" s="3" t="s">
        <v>79</v>
      </c>
      <c r="BE105" s="3">
        <v>515.0</v>
      </c>
      <c r="BF105" s="3">
        <v>518.0</v>
      </c>
      <c r="BG105" s="3" t="s">
        <v>79</v>
      </c>
      <c r="BH105" s="3" t="s">
        <v>1578</v>
      </c>
      <c r="BI105" s="8" t="str">
        <f>HYPERLINK("http://dx.doi.org/10.1109/SMC.2018.00097","http://dx.doi.org/10.1109/SMC.2018.00097")</f>
        <v>http://dx.doi.org/10.1109/SMC.2018.00097</v>
      </c>
      <c r="BJ105" s="3" t="s">
        <v>79</v>
      </c>
      <c r="BK105" s="3" t="s">
        <v>79</v>
      </c>
      <c r="BL105" s="3" t="s">
        <v>79</v>
      </c>
      <c r="BM105" s="3" t="s">
        <v>79</v>
      </c>
      <c r="BN105" s="3" t="s">
        <v>79</v>
      </c>
      <c r="BO105" s="3" t="s">
        <v>275</v>
      </c>
      <c r="BP105" s="3" t="s">
        <v>79</v>
      </c>
      <c r="BQ105" s="3" t="s">
        <v>79</v>
      </c>
      <c r="BR105" s="3" t="s">
        <v>79</v>
      </c>
      <c r="BS105" s="3" t="s">
        <v>79</v>
      </c>
      <c r="BT105" s="3" t="s">
        <v>79</v>
      </c>
      <c r="BU105" s="3" t="s">
        <v>95</v>
      </c>
      <c r="BV105" s="3" t="s">
        <v>1579</v>
      </c>
      <c r="BW105" s="3" t="str">
        <f>HYPERLINK("https%3A%2F%2Fwww.webofscience.com%2Fwos%2Fwoscc%2Ffull-record%2FWOS:000459884800087","View Full Record in Web of Science")</f>
        <v>View Full Record in Web of Science</v>
      </c>
    </row>
    <row r="106" ht="12.75" customHeight="1">
      <c r="A106" s="11"/>
      <c r="B106" s="12"/>
      <c r="C106" s="13"/>
      <c r="D106" s="13" t="s">
        <v>77</v>
      </c>
      <c r="E106" s="3" t="s">
        <v>1580</v>
      </c>
      <c r="F106" s="3" t="s">
        <v>79</v>
      </c>
      <c r="G106" s="3" t="s">
        <v>1581</v>
      </c>
      <c r="H106" s="3" t="s">
        <v>79</v>
      </c>
      <c r="I106" s="3" t="s">
        <v>1582</v>
      </c>
      <c r="J106" s="3" t="s">
        <v>79</v>
      </c>
      <c r="K106" s="3" t="s">
        <v>79</v>
      </c>
      <c r="L106" s="3" t="s">
        <v>1583</v>
      </c>
      <c r="M106" s="3" t="s">
        <v>1584</v>
      </c>
      <c r="N106" s="3" t="s">
        <v>79</v>
      </c>
      <c r="O106" s="3" t="s">
        <v>79</v>
      </c>
      <c r="P106" s="3" t="s">
        <v>79</v>
      </c>
      <c r="Q106" s="3" t="s">
        <v>84</v>
      </c>
      <c r="R106" s="3" t="s">
        <v>79</v>
      </c>
      <c r="S106" s="3" t="s">
        <v>79</v>
      </c>
      <c r="T106" s="3" t="s">
        <v>79</v>
      </c>
      <c r="U106" s="3" t="s">
        <v>79</v>
      </c>
      <c r="V106" s="3" t="s">
        <v>79</v>
      </c>
      <c r="W106" s="3" t="s">
        <v>1585</v>
      </c>
      <c r="X106" s="3" t="s">
        <v>268</v>
      </c>
      <c r="Y106" s="3" t="s">
        <v>1586</v>
      </c>
      <c r="Z106" s="3" t="s">
        <v>1587</v>
      </c>
      <c r="AA106" s="3" t="s">
        <v>1588</v>
      </c>
      <c r="AB106" s="3" t="s">
        <v>1589</v>
      </c>
      <c r="AC106" s="3" t="s">
        <v>1590</v>
      </c>
      <c r="AD106" s="3" t="s">
        <v>1591</v>
      </c>
      <c r="AE106" s="3" t="s">
        <v>1592</v>
      </c>
      <c r="AF106" s="3" t="s">
        <v>79</v>
      </c>
      <c r="AG106" s="3" t="s">
        <v>79</v>
      </c>
      <c r="AH106" s="3" t="s">
        <v>79</v>
      </c>
      <c r="AI106" s="3" t="s">
        <v>79</v>
      </c>
      <c r="AJ106" s="3">
        <v>11.0</v>
      </c>
      <c r="AK106" s="3">
        <v>3.0</v>
      </c>
      <c r="AL106" s="3">
        <v>3.0</v>
      </c>
      <c r="AM106" s="3" t="s">
        <v>79</v>
      </c>
      <c r="AN106" s="3" t="s">
        <v>79</v>
      </c>
      <c r="AO106" s="3" t="s">
        <v>79</v>
      </c>
      <c r="AP106" s="3" t="s">
        <v>79</v>
      </c>
      <c r="AQ106" s="3" t="s">
        <v>79</v>
      </c>
      <c r="AR106" s="3" t="s">
        <v>79</v>
      </c>
      <c r="AS106" s="3" t="s">
        <v>79</v>
      </c>
      <c r="AT106" s="3" t="s">
        <v>79</v>
      </c>
      <c r="AU106" s="3" t="s">
        <v>79</v>
      </c>
      <c r="AV106" s="3" t="s">
        <v>79</v>
      </c>
      <c r="AW106" s="3" t="s">
        <v>79</v>
      </c>
      <c r="AX106" s="3">
        <v>2020.0</v>
      </c>
      <c r="AY106" s="3" t="s">
        <v>79</v>
      </c>
      <c r="AZ106" s="3" t="s">
        <v>79</v>
      </c>
      <c r="BA106" s="3" t="s">
        <v>79</v>
      </c>
      <c r="BB106" s="3" t="s">
        <v>79</v>
      </c>
      <c r="BC106" s="3" t="s">
        <v>79</v>
      </c>
      <c r="BD106" s="3" t="s">
        <v>79</v>
      </c>
      <c r="BE106" s="3">
        <v>58.0</v>
      </c>
      <c r="BF106" s="3">
        <v>60.0</v>
      </c>
      <c r="BG106" s="3" t="s">
        <v>79</v>
      </c>
      <c r="BH106" s="3" t="s">
        <v>1593</v>
      </c>
      <c r="BI106" s="8" t="str">
        <f>HYPERLINK("http://dx.doi.org/10.1109/ichms49158.2020.9209560","http://dx.doi.org/10.1109/ichms49158.2020.9209560")</f>
        <v>http://dx.doi.org/10.1109/ichms49158.2020.9209560</v>
      </c>
      <c r="BJ106" s="3" t="s">
        <v>79</v>
      </c>
      <c r="BK106" s="3" t="s">
        <v>79</v>
      </c>
      <c r="BL106" s="3" t="s">
        <v>79</v>
      </c>
      <c r="BM106" s="3" t="s">
        <v>79</v>
      </c>
      <c r="BN106" s="3" t="s">
        <v>79</v>
      </c>
      <c r="BO106" s="3" t="s">
        <v>152</v>
      </c>
      <c r="BP106" s="3" t="s">
        <v>79</v>
      </c>
      <c r="BQ106" s="3" t="s">
        <v>79</v>
      </c>
      <c r="BR106" s="3" t="s">
        <v>79</v>
      </c>
      <c r="BS106" s="3" t="s">
        <v>79</v>
      </c>
      <c r="BT106" s="3" t="s">
        <v>79</v>
      </c>
      <c r="BU106" s="3" t="s">
        <v>95</v>
      </c>
      <c r="BV106" s="3" t="s">
        <v>1594</v>
      </c>
      <c r="BW106" s="3" t="str">
        <f>HYPERLINK("https%3A%2F%2Fwww.webofscience.com%2Fwos%2Fwoscc%2Ffull-record%2FWOS:000872028200012","View Full Record in Web of Science")</f>
        <v>View Full Record in Web of Science</v>
      </c>
    </row>
    <row r="107" ht="12.75" customHeight="1">
      <c r="A107" s="11"/>
      <c r="B107" s="12"/>
      <c r="C107" s="13"/>
      <c r="D107" s="13" t="s">
        <v>77</v>
      </c>
      <c r="E107" s="3" t="s">
        <v>1595</v>
      </c>
      <c r="F107" s="3" t="s">
        <v>79</v>
      </c>
      <c r="G107" s="3" t="s">
        <v>1596</v>
      </c>
      <c r="H107" s="3" t="s">
        <v>79</v>
      </c>
      <c r="I107" s="3" t="s">
        <v>1597</v>
      </c>
      <c r="J107" s="3" t="s">
        <v>79</v>
      </c>
      <c r="K107" s="3" t="s">
        <v>79</v>
      </c>
      <c r="L107" s="3" t="s">
        <v>1598</v>
      </c>
      <c r="M107" s="3" t="s">
        <v>1599</v>
      </c>
      <c r="N107" s="3" t="s">
        <v>79</v>
      </c>
      <c r="O107" s="3" t="s">
        <v>79</v>
      </c>
      <c r="P107" s="3" t="s">
        <v>79</v>
      </c>
      <c r="Q107" s="3" t="s">
        <v>84</v>
      </c>
      <c r="R107" s="3" t="s">
        <v>79</v>
      </c>
      <c r="S107" s="3" t="s">
        <v>79</v>
      </c>
      <c r="T107" s="3" t="s">
        <v>79</v>
      </c>
      <c r="U107" s="3" t="s">
        <v>79</v>
      </c>
      <c r="V107" s="3" t="s">
        <v>79</v>
      </c>
      <c r="W107" s="3" t="s">
        <v>1600</v>
      </c>
      <c r="X107" s="3" t="s">
        <v>1601</v>
      </c>
      <c r="Y107" s="3" t="s">
        <v>1602</v>
      </c>
      <c r="Z107" s="3" t="s">
        <v>1603</v>
      </c>
      <c r="AA107" s="3" t="s">
        <v>1604</v>
      </c>
      <c r="AB107" s="3" t="s">
        <v>1605</v>
      </c>
      <c r="AC107" s="3" t="s">
        <v>1606</v>
      </c>
      <c r="AD107" s="3" t="s">
        <v>1607</v>
      </c>
      <c r="AE107" s="3" t="s">
        <v>79</v>
      </c>
      <c r="AF107" s="3" t="s">
        <v>79</v>
      </c>
      <c r="AG107" s="3" t="s">
        <v>79</v>
      </c>
      <c r="AH107" s="3" t="s">
        <v>79</v>
      </c>
      <c r="AI107" s="3" t="s">
        <v>79</v>
      </c>
      <c r="AJ107" s="3">
        <v>24.0</v>
      </c>
      <c r="AK107" s="3">
        <v>3.0</v>
      </c>
      <c r="AL107" s="3">
        <v>5.0</v>
      </c>
      <c r="AM107" s="3" t="s">
        <v>79</v>
      </c>
      <c r="AN107" s="3" t="s">
        <v>79</v>
      </c>
      <c r="AO107" s="3" t="s">
        <v>79</v>
      </c>
      <c r="AP107" s="3" t="s">
        <v>79</v>
      </c>
      <c r="AQ107" s="3" t="s">
        <v>79</v>
      </c>
      <c r="AR107" s="3" t="s">
        <v>79</v>
      </c>
      <c r="AS107" s="3" t="s">
        <v>79</v>
      </c>
      <c r="AT107" s="3" t="s">
        <v>79</v>
      </c>
      <c r="AU107" s="3" t="s">
        <v>79</v>
      </c>
      <c r="AV107" s="3" t="s">
        <v>79</v>
      </c>
      <c r="AW107" s="3" t="s">
        <v>79</v>
      </c>
      <c r="AX107" s="3">
        <v>2022.0</v>
      </c>
      <c r="AY107" s="3" t="s">
        <v>79</v>
      </c>
      <c r="AZ107" s="3" t="s">
        <v>79</v>
      </c>
      <c r="BA107" s="3" t="s">
        <v>79</v>
      </c>
      <c r="BB107" s="3" t="s">
        <v>79</v>
      </c>
      <c r="BC107" s="3" t="s">
        <v>79</v>
      </c>
      <c r="BD107" s="3" t="s">
        <v>79</v>
      </c>
      <c r="BE107" s="3">
        <v>1017.0</v>
      </c>
      <c r="BF107" s="3">
        <v>1022.0</v>
      </c>
      <c r="BG107" s="3" t="s">
        <v>79</v>
      </c>
      <c r="BH107" s="3" t="s">
        <v>79</v>
      </c>
      <c r="BI107" s="3" t="s">
        <v>79</v>
      </c>
      <c r="BJ107" s="3" t="s">
        <v>79</v>
      </c>
      <c r="BK107" s="3" t="s">
        <v>79</v>
      </c>
      <c r="BL107" s="3" t="s">
        <v>79</v>
      </c>
      <c r="BM107" s="3" t="s">
        <v>79</v>
      </c>
      <c r="BN107" s="3" t="s">
        <v>79</v>
      </c>
      <c r="BO107" s="3" t="s">
        <v>1400</v>
      </c>
      <c r="BP107" s="3" t="s">
        <v>79</v>
      </c>
      <c r="BQ107" s="3" t="s">
        <v>79</v>
      </c>
      <c r="BR107" s="3" t="s">
        <v>79</v>
      </c>
      <c r="BS107" s="3" t="s">
        <v>79</v>
      </c>
      <c r="BT107" s="3" t="s">
        <v>79</v>
      </c>
      <c r="BU107" s="3" t="s">
        <v>95</v>
      </c>
      <c r="BV107" s="3" t="s">
        <v>1608</v>
      </c>
      <c r="BW107" s="3" t="str">
        <f>HYPERLINK("https%3A%2F%2Fwww.webofscience.com%2Fwos%2Fwoscc%2Ffull-record%2FWOS:000827851000170","View Full Record in Web of Science")</f>
        <v>View Full Record in Web of Science</v>
      </c>
    </row>
    <row r="108" ht="12.75" customHeight="1">
      <c r="A108" s="11"/>
      <c r="B108" s="12"/>
      <c r="C108" s="13"/>
      <c r="D108" s="13" t="s">
        <v>77</v>
      </c>
      <c r="E108" s="3" t="s">
        <v>1609</v>
      </c>
      <c r="F108" s="3" t="s">
        <v>79</v>
      </c>
      <c r="G108" s="3" t="s">
        <v>1610</v>
      </c>
      <c r="H108" s="3" t="s">
        <v>79</v>
      </c>
      <c r="I108" s="3" t="s">
        <v>1611</v>
      </c>
      <c r="J108" s="3" t="s">
        <v>79</v>
      </c>
      <c r="K108" s="3" t="s">
        <v>79</v>
      </c>
      <c r="L108" s="3" t="s">
        <v>1612</v>
      </c>
      <c r="M108" s="3" t="s">
        <v>1613</v>
      </c>
      <c r="N108" s="3" t="s">
        <v>1097</v>
      </c>
      <c r="O108" s="3" t="s">
        <v>79</v>
      </c>
      <c r="P108" s="3" t="s">
        <v>79</v>
      </c>
      <c r="Q108" s="3" t="s">
        <v>84</v>
      </c>
      <c r="R108" s="3" t="s">
        <v>79</v>
      </c>
      <c r="S108" s="3" t="s">
        <v>79</v>
      </c>
      <c r="T108" s="3" t="s">
        <v>79</v>
      </c>
      <c r="U108" s="3" t="s">
        <v>79</v>
      </c>
      <c r="V108" s="3" t="s">
        <v>79</v>
      </c>
      <c r="W108" s="3" t="s">
        <v>1614</v>
      </c>
      <c r="X108" s="3" t="s">
        <v>1615</v>
      </c>
      <c r="Y108" s="3" t="s">
        <v>1616</v>
      </c>
      <c r="Z108" s="3" t="s">
        <v>1617</v>
      </c>
      <c r="AA108" s="3" t="s">
        <v>1618</v>
      </c>
      <c r="AB108" s="3" t="s">
        <v>1619</v>
      </c>
      <c r="AC108" s="3" t="s">
        <v>1620</v>
      </c>
      <c r="AD108" s="3" t="s">
        <v>79</v>
      </c>
      <c r="AE108" s="3" t="s">
        <v>1621</v>
      </c>
      <c r="AF108" s="3" t="s">
        <v>79</v>
      </c>
      <c r="AG108" s="3" t="s">
        <v>79</v>
      </c>
      <c r="AH108" s="3" t="s">
        <v>79</v>
      </c>
      <c r="AI108" s="3" t="s">
        <v>79</v>
      </c>
      <c r="AJ108" s="3">
        <v>21.0</v>
      </c>
      <c r="AK108" s="3">
        <v>0.0</v>
      </c>
      <c r="AL108" s="3">
        <v>0.0</v>
      </c>
      <c r="AM108" s="3" t="s">
        <v>79</v>
      </c>
      <c r="AN108" s="3" t="s">
        <v>79</v>
      </c>
      <c r="AO108" s="3" t="s">
        <v>79</v>
      </c>
      <c r="AP108" s="3" t="s">
        <v>79</v>
      </c>
      <c r="AQ108" s="3" t="s">
        <v>79</v>
      </c>
      <c r="AR108" s="3" t="s">
        <v>79</v>
      </c>
      <c r="AS108" s="3" t="s">
        <v>79</v>
      </c>
      <c r="AT108" s="3" t="s">
        <v>79</v>
      </c>
      <c r="AU108" s="3" t="s">
        <v>79</v>
      </c>
      <c r="AV108" s="3" t="s">
        <v>79</v>
      </c>
      <c r="AW108" s="3" t="s">
        <v>79</v>
      </c>
      <c r="AX108" s="3">
        <v>2022.0</v>
      </c>
      <c r="AY108" s="3" t="s">
        <v>79</v>
      </c>
      <c r="AZ108" s="3" t="s">
        <v>79</v>
      </c>
      <c r="BA108" s="3" t="s">
        <v>79</v>
      </c>
      <c r="BB108" s="3" t="s">
        <v>79</v>
      </c>
      <c r="BC108" s="3" t="s">
        <v>79</v>
      </c>
      <c r="BD108" s="3" t="s">
        <v>79</v>
      </c>
      <c r="BE108" s="3">
        <v>1873.0</v>
      </c>
      <c r="BF108" s="3">
        <v>1878.0</v>
      </c>
      <c r="BG108" s="3" t="s">
        <v>79</v>
      </c>
      <c r="BH108" s="3" t="s">
        <v>1622</v>
      </c>
      <c r="BI108" s="8" t="str">
        <f>HYPERLINK("http://dx.doi.org/10.1007/978-3-030-70601-2_273","http://dx.doi.org/10.1007/978-3-030-70601-2_273")</f>
        <v>http://dx.doi.org/10.1007/978-3-030-70601-2_273</v>
      </c>
      <c r="BJ108" s="3" t="s">
        <v>79</v>
      </c>
      <c r="BK108" s="3" t="s">
        <v>79</v>
      </c>
      <c r="BL108" s="3" t="s">
        <v>79</v>
      </c>
      <c r="BM108" s="3" t="s">
        <v>79</v>
      </c>
      <c r="BN108" s="3" t="s">
        <v>79</v>
      </c>
      <c r="BO108" s="3" t="s">
        <v>139</v>
      </c>
      <c r="BP108" s="3" t="s">
        <v>79</v>
      </c>
      <c r="BQ108" s="3" t="s">
        <v>79</v>
      </c>
      <c r="BR108" s="3" t="s">
        <v>79</v>
      </c>
      <c r="BS108" s="3" t="s">
        <v>79</v>
      </c>
      <c r="BT108" s="3" t="s">
        <v>79</v>
      </c>
      <c r="BU108" s="3" t="s">
        <v>95</v>
      </c>
      <c r="BV108" s="3" t="s">
        <v>1623</v>
      </c>
      <c r="BW108" s="3" t="str">
        <f>HYPERLINK("https%3A%2F%2Fwww.webofscience.com%2Fwos%2Fwoscc%2Ffull-record%2FWOS:000871993700272","View Full Record in Web of Science")</f>
        <v>View Full Record in Web of Science</v>
      </c>
    </row>
    <row r="109" ht="12.75" customHeight="1">
      <c r="A109" s="11"/>
      <c r="B109" s="12"/>
      <c r="C109" s="13"/>
      <c r="D109" s="13" t="s">
        <v>185</v>
      </c>
      <c r="E109" s="3" t="s">
        <v>1624</v>
      </c>
      <c r="F109" s="3" t="s">
        <v>79</v>
      </c>
      <c r="G109" s="3" t="s">
        <v>79</v>
      </c>
      <c r="H109" s="3" t="s">
        <v>79</v>
      </c>
      <c r="I109" s="3" t="s">
        <v>1625</v>
      </c>
      <c r="J109" s="3" t="s">
        <v>79</v>
      </c>
      <c r="K109" s="3" t="s">
        <v>79</v>
      </c>
      <c r="L109" s="3" t="s">
        <v>1626</v>
      </c>
      <c r="M109" s="3" t="s">
        <v>1627</v>
      </c>
      <c r="N109" s="3" t="s">
        <v>79</v>
      </c>
      <c r="O109" s="3" t="s">
        <v>79</v>
      </c>
      <c r="P109" s="3" t="s">
        <v>79</v>
      </c>
      <c r="Q109" s="3" t="s">
        <v>190</v>
      </c>
      <c r="R109" s="3" t="s">
        <v>79</v>
      </c>
      <c r="S109" s="3" t="s">
        <v>79</v>
      </c>
      <c r="T109" s="3" t="s">
        <v>79</v>
      </c>
      <c r="U109" s="3" t="s">
        <v>79</v>
      </c>
      <c r="V109" s="3" t="s">
        <v>79</v>
      </c>
      <c r="W109" s="3" t="s">
        <v>1628</v>
      </c>
      <c r="X109" s="3" t="s">
        <v>1629</v>
      </c>
      <c r="Y109" s="3" t="s">
        <v>1630</v>
      </c>
      <c r="Z109" s="3" t="s">
        <v>1631</v>
      </c>
      <c r="AA109" s="3" t="s">
        <v>1632</v>
      </c>
      <c r="AB109" s="3" t="s">
        <v>1633</v>
      </c>
      <c r="AC109" s="3" t="s">
        <v>1634</v>
      </c>
      <c r="AD109" s="3" t="s">
        <v>1635</v>
      </c>
      <c r="AE109" s="3" t="s">
        <v>79</v>
      </c>
      <c r="AF109" s="3" t="s">
        <v>79</v>
      </c>
      <c r="AG109" s="3" t="s">
        <v>79</v>
      </c>
      <c r="AH109" s="3" t="s">
        <v>79</v>
      </c>
      <c r="AI109" s="3" t="s">
        <v>79</v>
      </c>
      <c r="AJ109" s="3">
        <v>22.0</v>
      </c>
      <c r="AK109" s="3">
        <v>1.0</v>
      </c>
      <c r="AL109" s="3">
        <v>1.0</v>
      </c>
      <c r="AM109" s="3" t="s">
        <v>79</v>
      </c>
      <c r="AN109" s="3" t="s">
        <v>79</v>
      </c>
      <c r="AO109" s="3" t="s">
        <v>79</v>
      </c>
      <c r="AP109" s="3" t="s">
        <v>79</v>
      </c>
      <c r="AQ109" s="3" t="s">
        <v>79</v>
      </c>
      <c r="AR109" s="3" t="s">
        <v>79</v>
      </c>
      <c r="AS109" s="3" t="s">
        <v>79</v>
      </c>
      <c r="AT109" s="3" t="s">
        <v>79</v>
      </c>
      <c r="AU109" s="3" t="s">
        <v>79</v>
      </c>
      <c r="AV109" s="3" t="s">
        <v>79</v>
      </c>
      <c r="AW109" s="3" t="s">
        <v>482</v>
      </c>
      <c r="AX109" s="3">
        <v>2024.0</v>
      </c>
      <c r="AY109" s="3">
        <v>15.0</v>
      </c>
      <c r="AZ109" s="3">
        <v>4.0</v>
      </c>
      <c r="BA109" s="3" t="s">
        <v>79</v>
      </c>
      <c r="BB109" s="3" t="s">
        <v>79</v>
      </c>
      <c r="BC109" s="3" t="s">
        <v>79</v>
      </c>
      <c r="BD109" s="3" t="s">
        <v>79</v>
      </c>
      <c r="BE109" s="3" t="s">
        <v>79</v>
      </c>
      <c r="BF109" s="3" t="s">
        <v>79</v>
      </c>
      <c r="BG109" s="3">
        <v>760.0</v>
      </c>
      <c r="BH109" s="3" t="s">
        <v>1636</v>
      </c>
      <c r="BI109" s="8" t="str">
        <f>HYPERLINK("http://dx.doi.org/10.12680/balneo.2024.760","http://dx.doi.org/10.12680/balneo.2024.760")</f>
        <v>http://dx.doi.org/10.12680/balneo.2024.760</v>
      </c>
      <c r="BJ109" s="3" t="s">
        <v>79</v>
      </c>
      <c r="BK109" s="3" t="s">
        <v>79</v>
      </c>
      <c r="BL109" s="3" t="s">
        <v>79</v>
      </c>
      <c r="BM109" s="3" t="s">
        <v>79</v>
      </c>
      <c r="BN109" s="3" t="s">
        <v>79</v>
      </c>
      <c r="BO109" s="3" t="s">
        <v>1637</v>
      </c>
      <c r="BP109" s="3" t="s">
        <v>79</v>
      </c>
      <c r="BQ109" s="3" t="s">
        <v>79</v>
      </c>
      <c r="BR109" s="3" t="s">
        <v>79</v>
      </c>
      <c r="BS109" s="3" t="s">
        <v>79</v>
      </c>
      <c r="BT109" s="3" t="s">
        <v>79</v>
      </c>
      <c r="BU109" s="3" t="s">
        <v>95</v>
      </c>
      <c r="BV109" s="3" t="s">
        <v>1638</v>
      </c>
      <c r="BW109" s="3" t="str">
        <f>HYPERLINK("https%3A%2F%2Fwww.webofscience.com%2Fwos%2Fwoscc%2Ffull-record%2FWOS:001399949600021","View Full Record in Web of Science")</f>
        <v>View Full Record in Web of Science</v>
      </c>
    </row>
    <row r="110" ht="12.75" customHeight="1">
      <c r="A110" s="11"/>
      <c r="B110" s="12"/>
      <c r="C110" s="13"/>
      <c r="D110" s="13" t="s">
        <v>77</v>
      </c>
      <c r="E110" s="3" t="s">
        <v>1639</v>
      </c>
      <c r="F110" s="3" t="s">
        <v>79</v>
      </c>
      <c r="G110" s="3" t="s">
        <v>79</v>
      </c>
      <c r="H110" s="3" t="s">
        <v>80</v>
      </c>
      <c r="I110" s="3" t="s">
        <v>1640</v>
      </c>
      <c r="J110" s="3" t="s">
        <v>79</v>
      </c>
      <c r="K110" s="3" t="s">
        <v>79</v>
      </c>
      <c r="L110" s="3" t="s">
        <v>1641</v>
      </c>
      <c r="M110" s="3" t="s">
        <v>1642</v>
      </c>
      <c r="N110" s="3" t="s">
        <v>1643</v>
      </c>
      <c r="O110" s="3" t="s">
        <v>79</v>
      </c>
      <c r="P110" s="3" t="s">
        <v>79</v>
      </c>
      <c r="Q110" s="3" t="s">
        <v>84</v>
      </c>
      <c r="R110" s="3" t="s">
        <v>79</v>
      </c>
      <c r="S110" s="3" t="s">
        <v>79</v>
      </c>
      <c r="T110" s="3" t="s">
        <v>79</v>
      </c>
      <c r="U110" s="3" t="s">
        <v>79</v>
      </c>
      <c r="V110" s="3" t="s">
        <v>79</v>
      </c>
      <c r="W110" s="3" t="s">
        <v>1644</v>
      </c>
      <c r="X110" s="3" t="s">
        <v>79</v>
      </c>
      <c r="Y110" s="3" t="s">
        <v>1645</v>
      </c>
      <c r="Z110" s="3" t="s">
        <v>1646</v>
      </c>
      <c r="AA110" s="3" t="s">
        <v>1647</v>
      </c>
      <c r="AB110" s="3" t="s">
        <v>1648</v>
      </c>
      <c r="AC110" s="3" t="s">
        <v>1649</v>
      </c>
      <c r="AD110" s="3" t="s">
        <v>79</v>
      </c>
      <c r="AE110" s="3" t="s">
        <v>79</v>
      </c>
      <c r="AF110" s="3" t="s">
        <v>79</v>
      </c>
      <c r="AG110" s="3" t="s">
        <v>79</v>
      </c>
      <c r="AH110" s="3" t="s">
        <v>79</v>
      </c>
      <c r="AI110" s="3" t="s">
        <v>79</v>
      </c>
      <c r="AJ110" s="3">
        <v>4.0</v>
      </c>
      <c r="AK110" s="3">
        <v>6.0</v>
      </c>
      <c r="AL110" s="3">
        <v>8.0</v>
      </c>
      <c r="AM110" s="3" t="s">
        <v>79</v>
      </c>
      <c r="AN110" s="3" t="s">
        <v>79</v>
      </c>
      <c r="AO110" s="3" t="s">
        <v>79</v>
      </c>
      <c r="AP110" s="3" t="s">
        <v>79</v>
      </c>
      <c r="AQ110" s="3" t="s">
        <v>79</v>
      </c>
      <c r="AR110" s="3" t="s">
        <v>79</v>
      </c>
      <c r="AS110" s="3" t="s">
        <v>79</v>
      </c>
      <c r="AT110" s="3" t="s">
        <v>79</v>
      </c>
      <c r="AU110" s="3" t="s">
        <v>79</v>
      </c>
      <c r="AV110" s="3" t="s">
        <v>79</v>
      </c>
      <c r="AW110" s="3" t="s">
        <v>79</v>
      </c>
      <c r="AX110" s="3">
        <v>2014.0</v>
      </c>
      <c r="AY110" s="3" t="s">
        <v>79</v>
      </c>
      <c r="AZ110" s="3" t="s">
        <v>79</v>
      </c>
      <c r="BA110" s="3" t="s">
        <v>79</v>
      </c>
      <c r="BB110" s="3" t="s">
        <v>79</v>
      </c>
      <c r="BC110" s="3" t="s">
        <v>79</v>
      </c>
      <c r="BD110" s="3" t="s">
        <v>79</v>
      </c>
      <c r="BE110" s="3">
        <v>532.0</v>
      </c>
      <c r="BF110" s="3" t="s">
        <v>1105</v>
      </c>
      <c r="BG110" s="3" t="s">
        <v>79</v>
      </c>
      <c r="BH110" s="3" t="s">
        <v>79</v>
      </c>
      <c r="BI110" s="3" t="s">
        <v>79</v>
      </c>
      <c r="BJ110" s="3" t="s">
        <v>79</v>
      </c>
      <c r="BK110" s="3" t="s">
        <v>79</v>
      </c>
      <c r="BL110" s="3" t="s">
        <v>79</v>
      </c>
      <c r="BM110" s="3" t="s">
        <v>79</v>
      </c>
      <c r="BN110" s="3" t="s">
        <v>79</v>
      </c>
      <c r="BO110" s="3" t="s">
        <v>139</v>
      </c>
      <c r="BP110" s="3" t="s">
        <v>79</v>
      </c>
      <c r="BQ110" s="3" t="s">
        <v>79</v>
      </c>
      <c r="BR110" s="3" t="s">
        <v>79</v>
      </c>
      <c r="BS110" s="3" t="s">
        <v>79</v>
      </c>
      <c r="BT110" s="3" t="s">
        <v>79</v>
      </c>
      <c r="BU110" s="3" t="s">
        <v>95</v>
      </c>
      <c r="BV110" s="3" t="s">
        <v>1650</v>
      </c>
      <c r="BW110" s="3" t="str">
        <f>HYPERLINK("https%3A%2F%2Fwww.webofscience.com%2Fwos%2Fwoscc%2Ffull-record%2FWOS:000349638300101","View Full Record in Web of Science")</f>
        <v>View Full Record in Web of Science</v>
      </c>
    </row>
    <row r="111" ht="12.75" customHeight="1">
      <c r="A111" s="11"/>
      <c r="B111" s="12"/>
      <c r="C111" s="13"/>
      <c r="D111" s="13" t="s">
        <v>77</v>
      </c>
      <c r="E111" s="3" t="s">
        <v>1651</v>
      </c>
      <c r="F111" s="3" t="s">
        <v>79</v>
      </c>
      <c r="G111" s="3" t="s">
        <v>79</v>
      </c>
      <c r="H111" s="3" t="s">
        <v>80</v>
      </c>
      <c r="I111" s="3" t="s">
        <v>1652</v>
      </c>
      <c r="J111" s="3" t="s">
        <v>79</v>
      </c>
      <c r="K111" s="3" t="s">
        <v>79</v>
      </c>
      <c r="L111" s="3" t="s">
        <v>1653</v>
      </c>
      <c r="M111" s="3" t="s">
        <v>1654</v>
      </c>
      <c r="N111" s="3" t="s">
        <v>1655</v>
      </c>
      <c r="O111" s="3" t="s">
        <v>79</v>
      </c>
      <c r="P111" s="3" t="s">
        <v>79</v>
      </c>
      <c r="Q111" s="3" t="s">
        <v>84</v>
      </c>
      <c r="R111" s="3" t="s">
        <v>79</v>
      </c>
      <c r="S111" s="3" t="s">
        <v>79</v>
      </c>
      <c r="T111" s="3" t="s">
        <v>79</v>
      </c>
      <c r="U111" s="3" t="s">
        <v>79</v>
      </c>
      <c r="V111" s="3" t="s">
        <v>79</v>
      </c>
      <c r="W111" s="3" t="s">
        <v>1656</v>
      </c>
      <c r="X111" s="3" t="s">
        <v>79</v>
      </c>
      <c r="Y111" s="3" t="s">
        <v>1657</v>
      </c>
      <c r="Z111" s="3" t="s">
        <v>1658</v>
      </c>
      <c r="AA111" s="3" t="s">
        <v>1659</v>
      </c>
      <c r="AB111" s="3" t="s">
        <v>1660</v>
      </c>
      <c r="AC111" s="3" t="s">
        <v>1661</v>
      </c>
      <c r="AD111" s="3" t="s">
        <v>79</v>
      </c>
      <c r="AE111" s="3" t="s">
        <v>79</v>
      </c>
      <c r="AF111" s="3" t="s">
        <v>79</v>
      </c>
      <c r="AG111" s="3" t="s">
        <v>79</v>
      </c>
      <c r="AH111" s="3" t="s">
        <v>79</v>
      </c>
      <c r="AI111" s="3" t="s">
        <v>79</v>
      </c>
      <c r="AJ111" s="3">
        <v>6.0</v>
      </c>
      <c r="AK111" s="3">
        <v>0.0</v>
      </c>
      <c r="AL111" s="3">
        <v>0.0</v>
      </c>
      <c r="AM111" s="3" t="s">
        <v>79</v>
      </c>
      <c r="AN111" s="3" t="s">
        <v>79</v>
      </c>
      <c r="AO111" s="3" t="s">
        <v>79</v>
      </c>
      <c r="AP111" s="3" t="s">
        <v>79</v>
      </c>
      <c r="AQ111" s="3" t="s">
        <v>79</v>
      </c>
      <c r="AR111" s="3" t="s">
        <v>79</v>
      </c>
      <c r="AS111" s="3" t="s">
        <v>79</v>
      </c>
      <c r="AT111" s="3" t="s">
        <v>79</v>
      </c>
      <c r="AU111" s="3" t="s">
        <v>79</v>
      </c>
      <c r="AV111" s="3" t="s">
        <v>79</v>
      </c>
      <c r="AW111" s="3" t="s">
        <v>79</v>
      </c>
      <c r="AX111" s="3">
        <v>2019.0</v>
      </c>
      <c r="AY111" s="3" t="s">
        <v>79</v>
      </c>
      <c r="AZ111" s="3" t="s">
        <v>79</v>
      </c>
      <c r="BA111" s="3" t="s">
        <v>79</v>
      </c>
      <c r="BB111" s="3" t="s">
        <v>79</v>
      </c>
      <c r="BC111" s="3" t="s">
        <v>79</v>
      </c>
      <c r="BD111" s="3" t="s">
        <v>79</v>
      </c>
      <c r="BE111" s="3" t="s">
        <v>79</v>
      </c>
      <c r="BF111" s="3" t="s">
        <v>79</v>
      </c>
      <c r="BG111" s="3" t="s">
        <v>79</v>
      </c>
      <c r="BH111" s="3" t="s">
        <v>1662</v>
      </c>
      <c r="BI111" s="8" t="str">
        <f>HYPERLINK("http://dx.doi.org/10.1109/cacs47674.2019.9024354","http://dx.doi.org/10.1109/cacs47674.2019.9024354")</f>
        <v>http://dx.doi.org/10.1109/cacs47674.2019.9024354</v>
      </c>
      <c r="BJ111" s="3" t="s">
        <v>79</v>
      </c>
      <c r="BK111" s="3" t="s">
        <v>79</v>
      </c>
      <c r="BL111" s="3" t="s">
        <v>79</v>
      </c>
      <c r="BM111" s="3" t="s">
        <v>79</v>
      </c>
      <c r="BN111" s="3" t="s">
        <v>79</v>
      </c>
      <c r="BO111" s="3" t="s">
        <v>1663</v>
      </c>
      <c r="BP111" s="3" t="s">
        <v>79</v>
      </c>
      <c r="BQ111" s="3" t="s">
        <v>79</v>
      </c>
      <c r="BR111" s="3" t="s">
        <v>79</v>
      </c>
      <c r="BS111" s="3" t="s">
        <v>79</v>
      </c>
      <c r="BT111" s="3" t="s">
        <v>79</v>
      </c>
      <c r="BU111" s="3" t="s">
        <v>95</v>
      </c>
      <c r="BV111" s="3" t="s">
        <v>1664</v>
      </c>
      <c r="BW111" s="3" t="str">
        <f>HYPERLINK("https%3A%2F%2Fwww.webofscience.com%2Fwos%2Fwoscc%2Ffull-record%2FWOS:000565624700002","View Full Record in Web of Science")</f>
        <v>View Full Record in Web of Science</v>
      </c>
    </row>
    <row r="112" ht="12.75" customHeight="1">
      <c r="A112" s="11"/>
      <c r="B112" s="12"/>
      <c r="C112" s="13"/>
      <c r="D112" s="13" t="s">
        <v>77</v>
      </c>
      <c r="E112" s="3" t="s">
        <v>1665</v>
      </c>
      <c r="F112" s="3" t="s">
        <v>79</v>
      </c>
      <c r="G112" s="3" t="s">
        <v>1666</v>
      </c>
      <c r="H112" s="3" t="s">
        <v>79</v>
      </c>
      <c r="I112" s="3" t="s">
        <v>1667</v>
      </c>
      <c r="J112" s="3" t="s">
        <v>79</v>
      </c>
      <c r="K112" s="3" t="s">
        <v>79</v>
      </c>
      <c r="L112" s="3" t="s">
        <v>1668</v>
      </c>
      <c r="M112" s="3" t="s">
        <v>1669</v>
      </c>
      <c r="N112" s="3" t="s">
        <v>79</v>
      </c>
      <c r="O112" s="3" t="s">
        <v>79</v>
      </c>
      <c r="P112" s="3" t="s">
        <v>79</v>
      </c>
      <c r="Q112" s="3" t="s">
        <v>84</v>
      </c>
      <c r="R112" s="3" t="s">
        <v>79</v>
      </c>
      <c r="S112" s="3" t="s">
        <v>79</v>
      </c>
      <c r="T112" s="3" t="s">
        <v>79</v>
      </c>
      <c r="U112" s="3" t="s">
        <v>79</v>
      </c>
      <c r="V112" s="3" t="s">
        <v>79</v>
      </c>
      <c r="W112" s="3" t="s">
        <v>1670</v>
      </c>
      <c r="X112" s="3" t="s">
        <v>79</v>
      </c>
      <c r="Y112" s="3" t="s">
        <v>1671</v>
      </c>
      <c r="Z112" s="3" t="s">
        <v>1672</v>
      </c>
      <c r="AA112" s="3" t="s">
        <v>1673</v>
      </c>
      <c r="AB112" s="3" t="s">
        <v>1674</v>
      </c>
      <c r="AC112" s="3" t="s">
        <v>1675</v>
      </c>
      <c r="AD112" s="3" t="s">
        <v>1676</v>
      </c>
      <c r="AE112" s="3" t="s">
        <v>1677</v>
      </c>
      <c r="AF112" s="3" t="s">
        <v>79</v>
      </c>
      <c r="AG112" s="3" t="s">
        <v>79</v>
      </c>
      <c r="AH112" s="3" t="s">
        <v>79</v>
      </c>
      <c r="AI112" s="3" t="s">
        <v>79</v>
      </c>
      <c r="AJ112" s="3">
        <v>22.0</v>
      </c>
      <c r="AK112" s="3">
        <v>1.0</v>
      </c>
      <c r="AL112" s="3">
        <v>1.0</v>
      </c>
      <c r="AM112" s="3" t="s">
        <v>79</v>
      </c>
      <c r="AN112" s="3" t="s">
        <v>79</v>
      </c>
      <c r="AO112" s="3" t="s">
        <v>79</v>
      </c>
      <c r="AP112" s="3" t="s">
        <v>79</v>
      </c>
      <c r="AQ112" s="3" t="s">
        <v>79</v>
      </c>
      <c r="AR112" s="3" t="s">
        <v>79</v>
      </c>
      <c r="AS112" s="3" t="s">
        <v>79</v>
      </c>
      <c r="AT112" s="3" t="s">
        <v>79</v>
      </c>
      <c r="AU112" s="3" t="s">
        <v>79</v>
      </c>
      <c r="AV112" s="3" t="s">
        <v>79</v>
      </c>
      <c r="AW112" s="3" t="s">
        <v>79</v>
      </c>
      <c r="AX112" s="3">
        <v>2021.0</v>
      </c>
      <c r="AY112" s="3" t="s">
        <v>79</v>
      </c>
      <c r="AZ112" s="3" t="s">
        <v>79</v>
      </c>
      <c r="BA112" s="3" t="s">
        <v>79</v>
      </c>
      <c r="BB112" s="3" t="s">
        <v>79</v>
      </c>
      <c r="BC112" s="3" t="s">
        <v>79</v>
      </c>
      <c r="BD112" s="3" t="s">
        <v>79</v>
      </c>
      <c r="BE112" s="3">
        <v>56.0</v>
      </c>
      <c r="BF112" s="3">
        <v>61.0</v>
      </c>
      <c r="BG112" s="3" t="s">
        <v>79</v>
      </c>
      <c r="BH112" s="3" t="s">
        <v>1678</v>
      </c>
      <c r="BI112" s="8" t="str">
        <f>HYPERLINK("http://dx.doi.org/10.1109/IC2IE53219.2021.9649403","http://dx.doi.org/10.1109/IC2IE53219.2021.9649403")</f>
        <v>http://dx.doi.org/10.1109/IC2IE53219.2021.9649403</v>
      </c>
      <c r="BJ112" s="3" t="s">
        <v>79</v>
      </c>
      <c r="BK112" s="3" t="s">
        <v>79</v>
      </c>
      <c r="BL112" s="3" t="s">
        <v>79</v>
      </c>
      <c r="BM112" s="3" t="s">
        <v>79</v>
      </c>
      <c r="BN112" s="3" t="s">
        <v>79</v>
      </c>
      <c r="BO112" s="3" t="s">
        <v>152</v>
      </c>
      <c r="BP112" s="3" t="s">
        <v>79</v>
      </c>
      <c r="BQ112" s="3" t="s">
        <v>79</v>
      </c>
      <c r="BR112" s="3" t="s">
        <v>79</v>
      </c>
      <c r="BS112" s="3" t="s">
        <v>79</v>
      </c>
      <c r="BT112" s="3" t="s">
        <v>79</v>
      </c>
      <c r="BU112" s="3" t="s">
        <v>95</v>
      </c>
      <c r="BV112" s="3" t="s">
        <v>1679</v>
      </c>
      <c r="BW112" s="3" t="str">
        <f>HYPERLINK("https%3A%2F%2Fwww.webofscience.com%2Fwos%2Fwoscc%2Ffull-record%2FWOS:000850131100012","View Full Record in Web of Science")</f>
        <v>View Full Record in Web of Science</v>
      </c>
    </row>
    <row r="113" ht="12.75" customHeight="1">
      <c r="A113" s="11"/>
      <c r="B113" s="12"/>
      <c r="C113" s="13"/>
      <c r="D113" s="13" t="s">
        <v>77</v>
      </c>
      <c r="E113" s="3" t="s">
        <v>1680</v>
      </c>
      <c r="F113" s="3" t="s">
        <v>79</v>
      </c>
      <c r="G113" s="3" t="s">
        <v>79</v>
      </c>
      <c r="H113" s="3" t="s">
        <v>80</v>
      </c>
      <c r="I113" s="3" t="s">
        <v>1681</v>
      </c>
      <c r="J113" s="3" t="s">
        <v>79</v>
      </c>
      <c r="K113" s="3" t="s">
        <v>79</v>
      </c>
      <c r="L113" s="3" t="s">
        <v>1682</v>
      </c>
      <c r="M113" s="3" t="s">
        <v>1022</v>
      </c>
      <c r="N113" s="3" t="s">
        <v>254</v>
      </c>
      <c r="O113" s="3" t="s">
        <v>79</v>
      </c>
      <c r="P113" s="3" t="s">
        <v>79</v>
      </c>
      <c r="Q113" s="3" t="s">
        <v>84</v>
      </c>
      <c r="R113" s="3" t="s">
        <v>79</v>
      </c>
      <c r="S113" s="3" t="s">
        <v>79</v>
      </c>
      <c r="T113" s="3" t="s">
        <v>79</v>
      </c>
      <c r="U113" s="3" t="s">
        <v>79</v>
      </c>
      <c r="V113" s="3" t="s">
        <v>79</v>
      </c>
      <c r="W113" s="3" t="s">
        <v>1683</v>
      </c>
      <c r="X113" s="3" t="s">
        <v>1684</v>
      </c>
      <c r="Y113" s="3" t="s">
        <v>1685</v>
      </c>
      <c r="Z113" s="3" t="s">
        <v>1686</v>
      </c>
      <c r="AA113" s="3" t="s">
        <v>1687</v>
      </c>
      <c r="AB113" s="3" t="s">
        <v>1688</v>
      </c>
      <c r="AC113" s="3" t="s">
        <v>1689</v>
      </c>
      <c r="AD113" s="3" t="s">
        <v>1690</v>
      </c>
      <c r="AE113" s="3" t="s">
        <v>1691</v>
      </c>
      <c r="AF113" s="3" t="s">
        <v>79</v>
      </c>
      <c r="AG113" s="3" t="s">
        <v>79</v>
      </c>
      <c r="AH113" s="3" t="s">
        <v>79</v>
      </c>
      <c r="AI113" s="3" t="s">
        <v>79</v>
      </c>
      <c r="AJ113" s="3">
        <v>13.0</v>
      </c>
      <c r="AK113" s="3">
        <v>50.0</v>
      </c>
      <c r="AL113" s="3">
        <v>52.0</v>
      </c>
      <c r="AM113" s="3" t="s">
        <v>79</v>
      </c>
      <c r="AN113" s="3" t="s">
        <v>79</v>
      </c>
      <c r="AO113" s="3" t="s">
        <v>79</v>
      </c>
      <c r="AP113" s="3" t="s">
        <v>79</v>
      </c>
      <c r="AQ113" s="3" t="s">
        <v>79</v>
      </c>
      <c r="AR113" s="3" t="s">
        <v>79</v>
      </c>
      <c r="AS113" s="3" t="s">
        <v>79</v>
      </c>
      <c r="AT113" s="3" t="s">
        <v>79</v>
      </c>
      <c r="AU113" s="3" t="s">
        <v>79</v>
      </c>
      <c r="AV113" s="3" t="s">
        <v>79</v>
      </c>
      <c r="AW113" s="3" t="s">
        <v>79</v>
      </c>
      <c r="AX113" s="3">
        <v>2015.0</v>
      </c>
      <c r="AY113" s="3" t="s">
        <v>79</v>
      </c>
      <c r="AZ113" s="3" t="s">
        <v>79</v>
      </c>
      <c r="BA113" s="3" t="s">
        <v>79</v>
      </c>
      <c r="BB113" s="3" t="s">
        <v>79</v>
      </c>
      <c r="BC113" s="3" t="s">
        <v>79</v>
      </c>
      <c r="BD113" s="3" t="s">
        <v>79</v>
      </c>
      <c r="BE113" s="3">
        <v>1476.0</v>
      </c>
      <c r="BF113" s="3">
        <v>1479.0</v>
      </c>
      <c r="BG113" s="3" t="s">
        <v>79</v>
      </c>
      <c r="BH113" s="3" t="s">
        <v>79</v>
      </c>
      <c r="BI113" s="3" t="s">
        <v>79</v>
      </c>
      <c r="BJ113" s="3" t="s">
        <v>79</v>
      </c>
      <c r="BK113" s="3" t="s">
        <v>79</v>
      </c>
      <c r="BL113" s="3" t="s">
        <v>79</v>
      </c>
      <c r="BM113" s="3" t="s">
        <v>79</v>
      </c>
      <c r="BN113" s="3" t="s">
        <v>79</v>
      </c>
      <c r="BO113" s="3" t="s">
        <v>139</v>
      </c>
      <c r="BP113" s="3" t="s">
        <v>79</v>
      </c>
      <c r="BQ113" s="3" t="s">
        <v>79</v>
      </c>
      <c r="BR113" s="3" t="s">
        <v>79</v>
      </c>
      <c r="BS113" s="3" t="s">
        <v>79</v>
      </c>
      <c r="BT113" s="3" t="s">
        <v>79</v>
      </c>
      <c r="BU113" s="3" t="s">
        <v>95</v>
      </c>
      <c r="BV113" s="3" t="s">
        <v>1692</v>
      </c>
      <c r="BW113" s="3" t="str">
        <f>HYPERLINK("https%3A%2F%2Fwww.webofscience.com%2Fwos%2Fwoscc%2Ffull-record%2FWOS:000371717201188","View Full Record in Web of Science")</f>
        <v>View Full Record in Web of Science</v>
      </c>
    </row>
    <row r="114" ht="12.75" customHeight="1">
      <c r="A114" s="11"/>
      <c r="B114" s="12"/>
      <c r="C114" s="13"/>
      <c r="D114" s="13" t="s">
        <v>185</v>
      </c>
      <c r="E114" s="3" t="s">
        <v>1693</v>
      </c>
      <c r="F114" s="3" t="s">
        <v>79</v>
      </c>
      <c r="G114" s="3" t="s">
        <v>79</v>
      </c>
      <c r="H114" s="3" t="s">
        <v>79</v>
      </c>
      <c r="I114" s="3" t="s">
        <v>1694</v>
      </c>
      <c r="J114" s="3" t="s">
        <v>79</v>
      </c>
      <c r="K114" s="3" t="s">
        <v>79</v>
      </c>
      <c r="L114" s="3" t="s">
        <v>1695</v>
      </c>
      <c r="M114" s="3" t="s">
        <v>1696</v>
      </c>
      <c r="N114" s="3" t="s">
        <v>79</v>
      </c>
      <c r="O114" s="3" t="s">
        <v>79</v>
      </c>
      <c r="P114" s="3" t="s">
        <v>79</v>
      </c>
      <c r="Q114" s="3" t="s">
        <v>190</v>
      </c>
      <c r="R114" s="3" t="s">
        <v>79</v>
      </c>
      <c r="S114" s="3" t="s">
        <v>79</v>
      </c>
      <c r="T114" s="3" t="s">
        <v>79</v>
      </c>
      <c r="U114" s="3" t="s">
        <v>79</v>
      </c>
      <c r="V114" s="3" t="s">
        <v>79</v>
      </c>
      <c r="W114" s="3" t="s">
        <v>1697</v>
      </c>
      <c r="X114" s="3" t="s">
        <v>1698</v>
      </c>
      <c r="Y114" s="3" t="s">
        <v>1699</v>
      </c>
      <c r="Z114" s="3" t="s">
        <v>1700</v>
      </c>
      <c r="AA114" s="3" t="s">
        <v>1701</v>
      </c>
      <c r="AB114" s="3" t="s">
        <v>1702</v>
      </c>
      <c r="AC114" s="3" t="s">
        <v>1703</v>
      </c>
      <c r="AD114" s="3" t="s">
        <v>1704</v>
      </c>
      <c r="AE114" s="3" t="s">
        <v>1705</v>
      </c>
      <c r="AF114" s="3" t="s">
        <v>79</v>
      </c>
      <c r="AG114" s="3" t="s">
        <v>79</v>
      </c>
      <c r="AH114" s="3" t="s">
        <v>79</v>
      </c>
      <c r="AI114" s="3" t="s">
        <v>79</v>
      </c>
      <c r="AJ114" s="3">
        <v>169.0</v>
      </c>
      <c r="AK114" s="3">
        <v>175.0</v>
      </c>
      <c r="AL114" s="3">
        <v>209.0</v>
      </c>
      <c r="AM114" s="3" t="s">
        <v>79</v>
      </c>
      <c r="AN114" s="3" t="s">
        <v>79</v>
      </c>
      <c r="AO114" s="3" t="s">
        <v>79</v>
      </c>
      <c r="AP114" s="3" t="s">
        <v>79</v>
      </c>
      <c r="AQ114" s="3" t="s">
        <v>79</v>
      </c>
      <c r="AR114" s="3" t="s">
        <v>79</v>
      </c>
      <c r="AS114" s="3" t="s">
        <v>79</v>
      </c>
      <c r="AT114" s="3" t="s">
        <v>79</v>
      </c>
      <c r="AU114" s="3" t="s">
        <v>79</v>
      </c>
      <c r="AV114" s="3" t="s">
        <v>79</v>
      </c>
      <c r="AW114" s="3" t="s">
        <v>527</v>
      </c>
      <c r="AX114" s="3">
        <v>2015.0</v>
      </c>
      <c r="AY114" s="3">
        <v>103.0</v>
      </c>
      <c r="AZ114" s="3">
        <v>6.0</v>
      </c>
      <c r="BA114" s="3" t="s">
        <v>79</v>
      </c>
      <c r="BB114" s="3" t="s">
        <v>79</v>
      </c>
      <c r="BC114" s="3" t="s">
        <v>291</v>
      </c>
      <c r="BD114" s="3" t="s">
        <v>79</v>
      </c>
      <c r="BE114" s="3">
        <v>907.0</v>
      </c>
      <c r="BF114" s="3">
        <v>925.0</v>
      </c>
      <c r="BG114" s="3" t="s">
        <v>79</v>
      </c>
      <c r="BH114" s="3" t="s">
        <v>1706</v>
      </c>
      <c r="BI114" s="8" t="str">
        <f>HYPERLINK("http://dx.doi.org/10.1109/JPROC.2015.2407272","http://dx.doi.org/10.1109/JPROC.2015.2407272")</f>
        <v>http://dx.doi.org/10.1109/JPROC.2015.2407272</v>
      </c>
      <c r="BJ114" s="3" t="s">
        <v>79</v>
      </c>
      <c r="BK114" s="3" t="s">
        <v>79</v>
      </c>
      <c r="BL114" s="3" t="s">
        <v>79</v>
      </c>
      <c r="BM114" s="3" t="s">
        <v>79</v>
      </c>
      <c r="BN114" s="3" t="s">
        <v>79</v>
      </c>
      <c r="BO114" s="3" t="s">
        <v>139</v>
      </c>
      <c r="BP114" s="3" t="s">
        <v>79</v>
      </c>
      <c r="BQ114" s="3" t="s">
        <v>79</v>
      </c>
      <c r="BR114" s="3" t="s">
        <v>79</v>
      </c>
      <c r="BS114" s="3" t="s">
        <v>79</v>
      </c>
      <c r="BT114" s="3" t="s">
        <v>79</v>
      </c>
      <c r="BU114" s="3" t="s">
        <v>95</v>
      </c>
      <c r="BV114" s="3" t="s">
        <v>1707</v>
      </c>
      <c r="BW114" s="3" t="str">
        <f>HYPERLINK("https%3A%2F%2Fwww.webofscience.com%2Fwos%2Fwoscc%2Ffull-record%2FWOS:000355754000005","View Full Record in Web of Science")</f>
        <v>View Full Record in Web of Science</v>
      </c>
    </row>
    <row r="115" ht="12.75" customHeight="1">
      <c r="A115" s="11"/>
      <c r="B115" s="12"/>
      <c r="C115" s="13"/>
      <c r="D115" s="13" t="s">
        <v>185</v>
      </c>
      <c r="E115" s="3" t="s">
        <v>1708</v>
      </c>
      <c r="F115" s="3" t="s">
        <v>79</v>
      </c>
      <c r="G115" s="3" t="s">
        <v>79</v>
      </c>
      <c r="H115" s="3" t="s">
        <v>79</v>
      </c>
      <c r="I115" s="3" t="s">
        <v>1709</v>
      </c>
      <c r="J115" s="3" t="s">
        <v>79</v>
      </c>
      <c r="K115" s="3" t="s">
        <v>79</v>
      </c>
      <c r="L115" s="3" t="s">
        <v>1710</v>
      </c>
      <c r="M115" s="3" t="s">
        <v>1711</v>
      </c>
      <c r="N115" s="3" t="s">
        <v>79</v>
      </c>
      <c r="O115" s="3" t="s">
        <v>79</v>
      </c>
      <c r="P115" s="3" t="s">
        <v>79</v>
      </c>
      <c r="Q115" s="3" t="s">
        <v>190</v>
      </c>
      <c r="R115" s="3" t="s">
        <v>79</v>
      </c>
      <c r="S115" s="3" t="s">
        <v>79</v>
      </c>
      <c r="T115" s="3" t="s">
        <v>79</v>
      </c>
      <c r="U115" s="3" t="s">
        <v>79</v>
      </c>
      <c r="V115" s="3" t="s">
        <v>79</v>
      </c>
      <c r="W115" s="3" t="s">
        <v>1712</v>
      </c>
      <c r="X115" s="3" t="s">
        <v>1713</v>
      </c>
      <c r="Y115" s="3" t="s">
        <v>1714</v>
      </c>
      <c r="Z115" s="3" t="s">
        <v>1715</v>
      </c>
      <c r="AA115" s="3" t="s">
        <v>1716</v>
      </c>
      <c r="AB115" s="3" t="s">
        <v>1717</v>
      </c>
      <c r="AC115" s="3" t="s">
        <v>1718</v>
      </c>
      <c r="AD115" s="3" t="s">
        <v>79</v>
      </c>
      <c r="AE115" s="3" t="s">
        <v>1719</v>
      </c>
      <c r="AF115" s="3" t="s">
        <v>79</v>
      </c>
      <c r="AG115" s="3" t="s">
        <v>79</v>
      </c>
      <c r="AH115" s="3" t="s">
        <v>79</v>
      </c>
      <c r="AI115" s="3" t="s">
        <v>79</v>
      </c>
      <c r="AJ115" s="3">
        <v>44.0</v>
      </c>
      <c r="AK115" s="3">
        <v>4.0</v>
      </c>
      <c r="AL115" s="3">
        <v>5.0</v>
      </c>
      <c r="AM115" s="3" t="s">
        <v>79</v>
      </c>
      <c r="AN115" s="3" t="s">
        <v>79</v>
      </c>
      <c r="AO115" s="3" t="s">
        <v>79</v>
      </c>
      <c r="AP115" s="3" t="s">
        <v>79</v>
      </c>
      <c r="AQ115" s="3" t="s">
        <v>79</v>
      </c>
      <c r="AR115" s="3" t="s">
        <v>79</v>
      </c>
      <c r="AS115" s="3" t="s">
        <v>79</v>
      </c>
      <c r="AT115" s="3" t="s">
        <v>79</v>
      </c>
      <c r="AU115" s="3" t="s">
        <v>79</v>
      </c>
      <c r="AV115" s="3" t="s">
        <v>79</v>
      </c>
      <c r="AW115" s="3" t="s">
        <v>497</v>
      </c>
      <c r="AX115" s="3">
        <v>2024.0</v>
      </c>
      <c r="AY115" s="3">
        <v>16.0</v>
      </c>
      <c r="AZ115" s="3">
        <v>15.0</v>
      </c>
      <c r="BA115" s="3" t="s">
        <v>79</v>
      </c>
      <c r="BB115" s="3" t="s">
        <v>79</v>
      </c>
      <c r="BC115" s="3" t="s">
        <v>79</v>
      </c>
      <c r="BD115" s="3" t="s">
        <v>79</v>
      </c>
      <c r="BE115" s="3" t="s">
        <v>79</v>
      </c>
      <c r="BF115" s="3" t="s">
        <v>79</v>
      </c>
      <c r="BG115" s="3">
        <v>6627.0</v>
      </c>
      <c r="BH115" s="3" t="s">
        <v>1720</v>
      </c>
      <c r="BI115" s="8" t="str">
        <f>HYPERLINK("http://dx.doi.org/10.3390/su16156627","http://dx.doi.org/10.3390/su16156627")</f>
        <v>http://dx.doi.org/10.3390/su16156627</v>
      </c>
      <c r="BJ115" s="3" t="s">
        <v>79</v>
      </c>
      <c r="BK115" s="3" t="s">
        <v>79</v>
      </c>
      <c r="BL115" s="3" t="s">
        <v>79</v>
      </c>
      <c r="BM115" s="3" t="s">
        <v>79</v>
      </c>
      <c r="BN115" s="3" t="s">
        <v>79</v>
      </c>
      <c r="BO115" s="3" t="s">
        <v>1721</v>
      </c>
      <c r="BP115" s="3" t="s">
        <v>79</v>
      </c>
      <c r="BQ115" s="3" t="s">
        <v>79</v>
      </c>
      <c r="BR115" s="3" t="s">
        <v>79</v>
      </c>
      <c r="BS115" s="3" t="s">
        <v>79</v>
      </c>
      <c r="BT115" s="3" t="s">
        <v>79</v>
      </c>
      <c r="BU115" s="3" t="s">
        <v>95</v>
      </c>
      <c r="BV115" s="3" t="s">
        <v>1722</v>
      </c>
      <c r="BW115" s="3" t="str">
        <f>HYPERLINK("https%3A%2F%2Fwww.webofscience.com%2Fwos%2Fwoscc%2Ffull-record%2FWOS:001287235900001","View Full Record in Web of Science")</f>
        <v>View Full Record in Web of Science</v>
      </c>
    </row>
    <row r="116" ht="12.75" customHeight="1">
      <c r="A116" s="11"/>
      <c r="B116" s="12"/>
      <c r="C116" s="13"/>
      <c r="D116" s="13" t="s">
        <v>77</v>
      </c>
      <c r="E116" s="3" t="s">
        <v>1723</v>
      </c>
      <c r="F116" s="3" t="s">
        <v>79</v>
      </c>
      <c r="G116" s="3" t="s">
        <v>79</v>
      </c>
      <c r="H116" s="3" t="s">
        <v>80</v>
      </c>
      <c r="I116" s="3" t="s">
        <v>1724</v>
      </c>
      <c r="J116" s="3" t="s">
        <v>79</v>
      </c>
      <c r="K116" s="3" t="s">
        <v>79</v>
      </c>
      <c r="L116" s="3" t="s">
        <v>1725</v>
      </c>
      <c r="M116" s="3" t="s">
        <v>1726</v>
      </c>
      <c r="N116" s="3" t="s">
        <v>79</v>
      </c>
      <c r="O116" s="3" t="s">
        <v>79</v>
      </c>
      <c r="P116" s="3" t="s">
        <v>79</v>
      </c>
      <c r="Q116" s="3" t="s">
        <v>84</v>
      </c>
      <c r="R116" s="3" t="s">
        <v>79</v>
      </c>
      <c r="S116" s="3" t="s">
        <v>79</v>
      </c>
      <c r="T116" s="3" t="s">
        <v>79</v>
      </c>
      <c r="U116" s="3" t="s">
        <v>79</v>
      </c>
      <c r="V116" s="3" t="s">
        <v>79</v>
      </c>
      <c r="W116" s="3" t="s">
        <v>1727</v>
      </c>
      <c r="X116" s="3" t="s">
        <v>1728</v>
      </c>
      <c r="Y116" s="3" t="s">
        <v>1729</v>
      </c>
      <c r="Z116" s="3" t="s">
        <v>1730</v>
      </c>
      <c r="AA116" s="3" t="s">
        <v>1731</v>
      </c>
      <c r="AB116" s="3" t="s">
        <v>1732</v>
      </c>
      <c r="AC116" s="3" t="s">
        <v>1733</v>
      </c>
      <c r="AD116" s="3" t="s">
        <v>1734</v>
      </c>
      <c r="AE116" s="3" t="s">
        <v>79</v>
      </c>
      <c r="AF116" s="3" t="s">
        <v>79</v>
      </c>
      <c r="AG116" s="3" t="s">
        <v>79</v>
      </c>
      <c r="AH116" s="3" t="s">
        <v>79</v>
      </c>
      <c r="AI116" s="3" t="s">
        <v>79</v>
      </c>
      <c r="AJ116" s="3">
        <v>17.0</v>
      </c>
      <c r="AK116" s="3">
        <v>4.0</v>
      </c>
      <c r="AL116" s="3">
        <v>4.0</v>
      </c>
      <c r="AM116" s="3" t="s">
        <v>79</v>
      </c>
      <c r="AN116" s="3" t="s">
        <v>79</v>
      </c>
      <c r="AO116" s="3" t="s">
        <v>79</v>
      </c>
      <c r="AP116" s="3" t="s">
        <v>79</v>
      </c>
      <c r="AQ116" s="3" t="s">
        <v>79</v>
      </c>
      <c r="AR116" s="3" t="s">
        <v>79</v>
      </c>
      <c r="AS116" s="3" t="s">
        <v>79</v>
      </c>
      <c r="AT116" s="3" t="s">
        <v>79</v>
      </c>
      <c r="AU116" s="3" t="s">
        <v>79</v>
      </c>
      <c r="AV116" s="3" t="s">
        <v>79</v>
      </c>
      <c r="AW116" s="3" t="s">
        <v>79</v>
      </c>
      <c r="AX116" s="3">
        <v>2016.0</v>
      </c>
      <c r="AY116" s="3" t="s">
        <v>79</v>
      </c>
      <c r="AZ116" s="3" t="s">
        <v>79</v>
      </c>
      <c r="BA116" s="3" t="s">
        <v>79</v>
      </c>
      <c r="BB116" s="3" t="s">
        <v>79</v>
      </c>
      <c r="BC116" s="3" t="s">
        <v>79</v>
      </c>
      <c r="BD116" s="3" t="s">
        <v>79</v>
      </c>
      <c r="BE116" s="3">
        <v>426.0</v>
      </c>
      <c r="BF116" s="3">
        <v>430.0</v>
      </c>
      <c r="BG116" s="3" t="s">
        <v>79</v>
      </c>
      <c r="BH116" s="3" t="s">
        <v>79</v>
      </c>
      <c r="BI116" s="3" t="s">
        <v>79</v>
      </c>
      <c r="BJ116" s="3" t="s">
        <v>79</v>
      </c>
      <c r="BK116" s="3" t="s">
        <v>79</v>
      </c>
      <c r="BL116" s="3" t="s">
        <v>79</v>
      </c>
      <c r="BM116" s="3" t="s">
        <v>79</v>
      </c>
      <c r="BN116" s="3" t="s">
        <v>79</v>
      </c>
      <c r="BO116" s="3" t="s">
        <v>787</v>
      </c>
      <c r="BP116" s="3" t="s">
        <v>79</v>
      </c>
      <c r="BQ116" s="3" t="s">
        <v>79</v>
      </c>
      <c r="BR116" s="3" t="s">
        <v>79</v>
      </c>
      <c r="BS116" s="3" t="s">
        <v>79</v>
      </c>
      <c r="BT116" s="3" t="s">
        <v>79</v>
      </c>
      <c r="BU116" s="3" t="s">
        <v>95</v>
      </c>
      <c r="BV116" s="3" t="s">
        <v>1735</v>
      </c>
      <c r="BW116" s="3" t="str">
        <f>HYPERLINK("https%3A%2F%2Fwww.webofscience.com%2Fwos%2Fwoscc%2Ffull-record%2FWOS:000392871500088","View Full Record in Web of Science")</f>
        <v>View Full Record in Web of Science</v>
      </c>
    </row>
    <row r="117" ht="12.75" customHeight="1">
      <c r="A117" s="11"/>
      <c r="B117" s="12"/>
      <c r="C117" s="13"/>
      <c r="D117" s="13" t="s">
        <v>185</v>
      </c>
      <c r="E117" s="3" t="s">
        <v>1736</v>
      </c>
      <c r="F117" s="3" t="s">
        <v>79</v>
      </c>
      <c r="G117" s="3" t="s">
        <v>79</v>
      </c>
      <c r="H117" s="3" t="s">
        <v>79</v>
      </c>
      <c r="I117" s="3" t="s">
        <v>1736</v>
      </c>
      <c r="J117" s="3" t="s">
        <v>79</v>
      </c>
      <c r="K117" s="3" t="s">
        <v>79</v>
      </c>
      <c r="L117" s="3" t="s">
        <v>1737</v>
      </c>
      <c r="M117" s="3" t="s">
        <v>1696</v>
      </c>
      <c r="N117" s="3" t="s">
        <v>79</v>
      </c>
      <c r="O117" s="3" t="s">
        <v>79</v>
      </c>
      <c r="P117" s="3" t="s">
        <v>79</v>
      </c>
      <c r="Q117" s="3" t="s">
        <v>190</v>
      </c>
      <c r="R117" s="3" t="s">
        <v>79</v>
      </c>
      <c r="S117" s="3" t="s">
        <v>79</v>
      </c>
      <c r="T117" s="3" t="s">
        <v>79</v>
      </c>
      <c r="U117" s="3" t="s">
        <v>79</v>
      </c>
      <c r="V117" s="3" t="s">
        <v>79</v>
      </c>
      <c r="W117" s="3" t="s">
        <v>1738</v>
      </c>
      <c r="X117" s="3" t="s">
        <v>1739</v>
      </c>
      <c r="Y117" s="3" t="s">
        <v>1740</v>
      </c>
      <c r="Z117" s="3" t="s">
        <v>1741</v>
      </c>
      <c r="AA117" s="3" t="s">
        <v>1742</v>
      </c>
      <c r="AB117" s="3" t="s">
        <v>1743</v>
      </c>
      <c r="AC117" s="3" t="s">
        <v>1744</v>
      </c>
      <c r="AD117" s="3" t="s">
        <v>79</v>
      </c>
      <c r="AE117" s="3" t="s">
        <v>79</v>
      </c>
      <c r="AF117" s="3" t="s">
        <v>79</v>
      </c>
      <c r="AG117" s="3" t="s">
        <v>79</v>
      </c>
      <c r="AH117" s="3" t="s">
        <v>79</v>
      </c>
      <c r="AI117" s="3" t="s">
        <v>79</v>
      </c>
      <c r="AJ117" s="3">
        <v>57.0</v>
      </c>
      <c r="AK117" s="3">
        <v>1341.0</v>
      </c>
      <c r="AL117" s="3">
        <v>1505.0</v>
      </c>
      <c r="AM117" s="3" t="s">
        <v>79</v>
      </c>
      <c r="AN117" s="3" t="s">
        <v>79</v>
      </c>
      <c r="AO117" s="3" t="s">
        <v>79</v>
      </c>
      <c r="AP117" s="3" t="s">
        <v>79</v>
      </c>
      <c r="AQ117" s="3" t="s">
        <v>79</v>
      </c>
      <c r="AR117" s="3" t="s">
        <v>79</v>
      </c>
      <c r="AS117" s="3" t="s">
        <v>79</v>
      </c>
      <c r="AT117" s="3" t="s">
        <v>79</v>
      </c>
      <c r="AU117" s="3" t="s">
        <v>79</v>
      </c>
      <c r="AV117" s="3" t="s">
        <v>79</v>
      </c>
      <c r="AW117" s="3" t="s">
        <v>575</v>
      </c>
      <c r="AX117" s="3">
        <v>2001.0</v>
      </c>
      <c r="AY117" s="3">
        <v>89.0</v>
      </c>
      <c r="AZ117" s="3">
        <v>7.0</v>
      </c>
      <c r="BA117" s="3" t="s">
        <v>79</v>
      </c>
      <c r="BB117" s="3" t="s">
        <v>79</v>
      </c>
      <c r="BC117" s="3" t="s">
        <v>291</v>
      </c>
      <c r="BD117" s="3" t="s">
        <v>79</v>
      </c>
      <c r="BE117" s="3">
        <v>1123.0</v>
      </c>
      <c r="BF117" s="3">
        <v>1134.0</v>
      </c>
      <c r="BG117" s="3" t="s">
        <v>79</v>
      </c>
      <c r="BH117" s="3" t="s">
        <v>1745</v>
      </c>
      <c r="BI117" s="8" t="str">
        <f>HYPERLINK("http://dx.doi.org/10.1109/5.939829","http://dx.doi.org/10.1109/5.939829")</f>
        <v>http://dx.doi.org/10.1109/5.939829</v>
      </c>
      <c r="BJ117" s="3" t="s">
        <v>79</v>
      </c>
      <c r="BK117" s="3" t="s">
        <v>79</v>
      </c>
      <c r="BL117" s="3" t="s">
        <v>79</v>
      </c>
      <c r="BM117" s="3" t="s">
        <v>79</v>
      </c>
      <c r="BN117" s="3" t="s">
        <v>79</v>
      </c>
      <c r="BO117" s="3" t="s">
        <v>139</v>
      </c>
      <c r="BP117" s="3" t="s">
        <v>79</v>
      </c>
      <c r="BQ117" s="3" t="s">
        <v>79</v>
      </c>
      <c r="BR117" s="3" t="s">
        <v>79</v>
      </c>
      <c r="BS117" s="3" t="s">
        <v>79</v>
      </c>
      <c r="BT117" s="3" t="s">
        <v>79</v>
      </c>
      <c r="BU117" s="3" t="s">
        <v>95</v>
      </c>
      <c r="BV117" s="3" t="s">
        <v>1746</v>
      </c>
      <c r="BW117" s="3" t="str">
        <f>HYPERLINK("https%3A%2F%2Fwww.webofscience.com%2Fwos%2Fwoscc%2Ffull-record%2FWOS:000170371200010","View Full Record in Web of Science")</f>
        <v>View Full Record in Web of Science</v>
      </c>
    </row>
    <row r="118" ht="12.75" customHeight="1">
      <c r="A118" s="11"/>
      <c r="B118" s="12"/>
      <c r="C118" s="13"/>
      <c r="D118" s="13" t="s">
        <v>185</v>
      </c>
      <c r="E118" s="3" t="s">
        <v>1747</v>
      </c>
      <c r="F118" s="3" t="s">
        <v>79</v>
      </c>
      <c r="G118" s="3" t="s">
        <v>79</v>
      </c>
      <c r="H118" s="3" t="s">
        <v>79</v>
      </c>
      <c r="I118" s="3" t="s">
        <v>1748</v>
      </c>
      <c r="J118" s="3" t="s">
        <v>79</v>
      </c>
      <c r="K118" s="3" t="s">
        <v>79</v>
      </c>
      <c r="L118" s="3" t="s">
        <v>1749</v>
      </c>
      <c r="M118" s="3" t="s">
        <v>1750</v>
      </c>
      <c r="N118" s="3" t="s">
        <v>79</v>
      </c>
      <c r="O118" s="3" t="s">
        <v>79</v>
      </c>
      <c r="P118" s="3" t="s">
        <v>79</v>
      </c>
      <c r="Q118" s="3" t="s">
        <v>190</v>
      </c>
      <c r="R118" s="3" t="s">
        <v>79</v>
      </c>
      <c r="S118" s="3" t="s">
        <v>79</v>
      </c>
      <c r="T118" s="3" t="s">
        <v>79</v>
      </c>
      <c r="U118" s="3" t="s">
        <v>79</v>
      </c>
      <c r="V118" s="3" t="s">
        <v>79</v>
      </c>
      <c r="W118" s="3" t="s">
        <v>1751</v>
      </c>
      <c r="X118" s="3" t="s">
        <v>1752</v>
      </c>
      <c r="Y118" s="3" t="s">
        <v>1753</v>
      </c>
      <c r="Z118" s="3" t="s">
        <v>1754</v>
      </c>
      <c r="AA118" s="3" t="s">
        <v>79</v>
      </c>
      <c r="AB118" s="3" t="s">
        <v>1755</v>
      </c>
      <c r="AC118" s="3" t="s">
        <v>1756</v>
      </c>
      <c r="AD118" s="3" t="s">
        <v>1757</v>
      </c>
      <c r="AE118" s="3" t="s">
        <v>1758</v>
      </c>
      <c r="AF118" s="3" t="s">
        <v>79</v>
      </c>
      <c r="AG118" s="3" t="s">
        <v>79</v>
      </c>
      <c r="AH118" s="3" t="s">
        <v>79</v>
      </c>
      <c r="AI118" s="3" t="s">
        <v>79</v>
      </c>
      <c r="AJ118" s="3">
        <v>16.0</v>
      </c>
      <c r="AK118" s="3">
        <v>14.0</v>
      </c>
      <c r="AL118" s="3">
        <v>17.0</v>
      </c>
      <c r="AM118" s="3" t="s">
        <v>79</v>
      </c>
      <c r="AN118" s="3" t="s">
        <v>79</v>
      </c>
      <c r="AO118" s="3" t="s">
        <v>79</v>
      </c>
      <c r="AP118" s="3" t="s">
        <v>79</v>
      </c>
      <c r="AQ118" s="3" t="s">
        <v>79</v>
      </c>
      <c r="AR118" s="3" t="s">
        <v>79</v>
      </c>
      <c r="AS118" s="3" t="s">
        <v>79</v>
      </c>
      <c r="AT118" s="3" t="s">
        <v>79</v>
      </c>
      <c r="AU118" s="3" t="s">
        <v>79</v>
      </c>
      <c r="AV118" s="3" t="s">
        <v>79</v>
      </c>
      <c r="AW118" s="3" t="s">
        <v>695</v>
      </c>
      <c r="AX118" s="3">
        <v>2018.0</v>
      </c>
      <c r="AY118" s="3">
        <v>12.0</v>
      </c>
      <c r="AZ118" s="3">
        <v>3.0</v>
      </c>
      <c r="BA118" s="3" t="s">
        <v>79</v>
      </c>
      <c r="BB118" s="3" t="s">
        <v>79</v>
      </c>
      <c r="BC118" s="3" t="s">
        <v>79</v>
      </c>
      <c r="BD118" s="3" t="s">
        <v>79</v>
      </c>
      <c r="BE118" s="3">
        <v>557.0</v>
      </c>
      <c r="BF118" s="3">
        <v>564.0</v>
      </c>
      <c r="BG118" s="3" t="s">
        <v>79</v>
      </c>
      <c r="BH118" s="3" t="s">
        <v>1759</v>
      </c>
      <c r="BI118" s="8" t="str">
        <f>HYPERLINK("http://dx.doi.org/10.1007/s11760-017-1193-5","http://dx.doi.org/10.1007/s11760-017-1193-5")</f>
        <v>http://dx.doi.org/10.1007/s11760-017-1193-5</v>
      </c>
      <c r="BJ118" s="3" t="s">
        <v>79</v>
      </c>
      <c r="BK118" s="3" t="s">
        <v>79</v>
      </c>
      <c r="BL118" s="3" t="s">
        <v>79</v>
      </c>
      <c r="BM118" s="3" t="s">
        <v>79</v>
      </c>
      <c r="BN118" s="3" t="s">
        <v>79</v>
      </c>
      <c r="BO118" s="3" t="s">
        <v>1760</v>
      </c>
      <c r="BP118" s="3" t="s">
        <v>79</v>
      </c>
      <c r="BQ118" s="3" t="s">
        <v>79</v>
      </c>
      <c r="BR118" s="3" t="s">
        <v>79</v>
      </c>
      <c r="BS118" s="3" t="s">
        <v>79</v>
      </c>
      <c r="BT118" s="3" t="s">
        <v>79</v>
      </c>
      <c r="BU118" s="3" t="s">
        <v>95</v>
      </c>
      <c r="BV118" s="3" t="s">
        <v>1761</v>
      </c>
      <c r="BW118" s="3" t="str">
        <f>HYPERLINK("https%3A%2F%2Fwww.webofscience.com%2Fwos%2Fwoscc%2Ffull-record%2FWOS:000426815900020","View Full Record in Web of Science")</f>
        <v>View Full Record in Web of Science</v>
      </c>
    </row>
    <row r="119" ht="12.75" customHeight="1">
      <c r="A119" s="13"/>
      <c r="B119" s="12"/>
      <c r="C119" s="13"/>
      <c r="D119" s="13" t="s">
        <v>77</v>
      </c>
      <c r="E119" s="3" t="s">
        <v>1762</v>
      </c>
      <c r="F119" s="3" t="s">
        <v>79</v>
      </c>
      <c r="G119" s="3" t="s">
        <v>79</v>
      </c>
      <c r="H119" s="3" t="s">
        <v>80</v>
      </c>
      <c r="I119" s="3" t="s">
        <v>1763</v>
      </c>
      <c r="J119" s="3" t="s">
        <v>79</v>
      </c>
      <c r="K119" s="3" t="s">
        <v>79</v>
      </c>
      <c r="L119" s="3" t="s">
        <v>1764</v>
      </c>
      <c r="M119" s="3" t="s">
        <v>1765</v>
      </c>
      <c r="N119" s="3" t="s">
        <v>1766</v>
      </c>
      <c r="O119" s="3" t="s">
        <v>79</v>
      </c>
      <c r="P119" s="3" t="s">
        <v>79</v>
      </c>
      <c r="Q119" s="3" t="s">
        <v>84</v>
      </c>
      <c r="R119" s="3" t="s">
        <v>79</v>
      </c>
      <c r="S119" s="3" t="s">
        <v>79</v>
      </c>
      <c r="T119" s="3" t="s">
        <v>79</v>
      </c>
      <c r="U119" s="3" t="s">
        <v>79</v>
      </c>
      <c r="V119" s="3" t="s">
        <v>79</v>
      </c>
      <c r="W119" s="3" t="s">
        <v>1767</v>
      </c>
      <c r="X119" s="3" t="s">
        <v>1768</v>
      </c>
      <c r="Y119" s="3" t="s">
        <v>1769</v>
      </c>
      <c r="Z119" s="3" t="s">
        <v>1770</v>
      </c>
      <c r="AA119" s="3" t="s">
        <v>1771</v>
      </c>
      <c r="AB119" s="3" t="s">
        <v>1772</v>
      </c>
      <c r="AC119" s="3" t="s">
        <v>1773</v>
      </c>
      <c r="AD119" s="3" t="s">
        <v>79</v>
      </c>
      <c r="AE119" s="3" t="s">
        <v>79</v>
      </c>
      <c r="AF119" s="3" t="s">
        <v>79</v>
      </c>
      <c r="AG119" s="3" t="s">
        <v>79</v>
      </c>
      <c r="AH119" s="3" t="s">
        <v>79</v>
      </c>
      <c r="AI119" s="3" t="s">
        <v>79</v>
      </c>
      <c r="AJ119" s="3">
        <v>15.0</v>
      </c>
      <c r="AK119" s="3">
        <v>3.0</v>
      </c>
      <c r="AL119" s="3">
        <v>6.0</v>
      </c>
      <c r="AM119" s="3" t="s">
        <v>79</v>
      </c>
      <c r="AN119" s="3" t="s">
        <v>79</v>
      </c>
      <c r="AO119" s="3" t="s">
        <v>79</v>
      </c>
      <c r="AP119" s="3" t="s">
        <v>79</v>
      </c>
      <c r="AQ119" s="3" t="s">
        <v>79</v>
      </c>
      <c r="AR119" s="3" t="s">
        <v>79</v>
      </c>
      <c r="AS119" s="3" t="s">
        <v>79</v>
      </c>
      <c r="AT119" s="3" t="s">
        <v>79</v>
      </c>
      <c r="AU119" s="3" t="s">
        <v>79</v>
      </c>
      <c r="AV119" s="3" t="s">
        <v>79</v>
      </c>
      <c r="AW119" s="3" t="s">
        <v>79</v>
      </c>
      <c r="AX119" s="3">
        <v>2017.0</v>
      </c>
      <c r="AY119" s="3" t="s">
        <v>79</v>
      </c>
      <c r="AZ119" s="3" t="s">
        <v>79</v>
      </c>
      <c r="BA119" s="3" t="s">
        <v>79</v>
      </c>
      <c r="BB119" s="3" t="s">
        <v>79</v>
      </c>
      <c r="BC119" s="3" t="s">
        <v>79</v>
      </c>
      <c r="BD119" s="3" t="s">
        <v>79</v>
      </c>
      <c r="BE119" s="3">
        <v>594.0</v>
      </c>
      <c r="BF119" s="3">
        <v>598.0</v>
      </c>
      <c r="BG119" s="3" t="s">
        <v>79</v>
      </c>
      <c r="BH119" s="3" t="s">
        <v>79</v>
      </c>
      <c r="BI119" s="3" t="s">
        <v>79</v>
      </c>
      <c r="BJ119" s="3" t="s">
        <v>79</v>
      </c>
      <c r="BK119" s="3" t="s">
        <v>79</v>
      </c>
      <c r="BL119" s="3" t="s">
        <v>79</v>
      </c>
      <c r="BM119" s="3" t="s">
        <v>79</v>
      </c>
      <c r="BN119" s="3" t="s">
        <v>79</v>
      </c>
      <c r="BO119" s="3" t="s">
        <v>152</v>
      </c>
      <c r="BP119" s="3" t="s">
        <v>79</v>
      </c>
      <c r="BQ119" s="3" t="s">
        <v>79</v>
      </c>
      <c r="BR119" s="3" t="s">
        <v>79</v>
      </c>
      <c r="BS119" s="3" t="s">
        <v>79</v>
      </c>
      <c r="BT119" s="3" t="s">
        <v>79</v>
      </c>
      <c r="BU119" s="3" t="s">
        <v>95</v>
      </c>
      <c r="BV119" s="3" t="s">
        <v>1774</v>
      </c>
      <c r="BW119" s="3" t="str">
        <f>HYPERLINK("https%3A%2F%2Fwww.webofscience.com%2Fwos%2Fwoscc%2Ffull-record%2FWOS:000427752100107","View Full Record in Web of Science")</f>
        <v>View Full Record in Web of Science</v>
      </c>
    </row>
    <row r="120" ht="12.75" customHeight="1">
      <c r="A120" s="13"/>
      <c r="B120" s="12"/>
      <c r="C120" s="13"/>
      <c r="D120" s="13" t="s">
        <v>185</v>
      </c>
      <c r="E120" s="3" t="s">
        <v>1775</v>
      </c>
      <c r="F120" s="3" t="s">
        <v>79</v>
      </c>
      <c r="G120" s="3" t="s">
        <v>79</v>
      </c>
      <c r="H120" s="3" t="s">
        <v>79</v>
      </c>
      <c r="I120" s="3" t="s">
        <v>1776</v>
      </c>
      <c r="J120" s="3" t="s">
        <v>79</v>
      </c>
      <c r="K120" s="3" t="s">
        <v>79</v>
      </c>
      <c r="L120" s="3" t="s">
        <v>1777</v>
      </c>
      <c r="M120" s="3" t="s">
        <v>1778</v>
      </c>
      <c r="N120" s="3" t="s">
        <v>79</v>
      </c>
      <c r="O120" s="3" t="s">
        <v>79</v>
      </c>
      <c r="P120" s="3" t="s">
        <v>79</v>
      </c>
      <c r="Q120" s="3" t="s">
        <v>190</v>
      </c>
      <c r="R120" s="3" t="s">
        <v>79</v>
      </c>
      <c r="S120" s="3" t="s">
        <v>79</v>
      </c>
      <c r="T120" s="3" t="s">
        <v>79</v>
      </c>
      <c r="U120" s="3" t="s">
        <v>79</v>
      </c>
      <c r="V120" s="3" t="s">
        <v>79</v>
      </c>
      <c r="W120" s="3" t="s">
        <v>1779</v>
      </c>
      <c r="X120" s="3" t="s">
        <v>1780</v>
      </c>
      <c r="Y120" s="3" t="s">
        <v>1781</v>
      </c>
      <c r="Z120" s="3" t="s">
        <v>1782</v>
      </c>
      <c r="AA120" s="3" t="s">
        <v>1783</v>
      </c>
      <c r="AB120" s="3" t="s">
        <v>1784</v>
      </c>
      <c r="AC120" s="3" t="s">
        <v>1785</v>
      </c>
      <c r="AD120" s="3" t="s">
        <v>1786</v>
      </c>
      <c r="AE120" s="3" t="s">
        <v>1787</v>
      </c>
      <c r="AF120" s="3" t="s">
        <v>79</v>
      </c>
      <c r="AG120" s="3" t="s">
        <v>79</v>
      </c>
      <c r="AH120" s="3" t="s">
        <v>79</v>
      </c>
      <c r="AI120" s="3" t="s">
        <v>79</v>
      </c>
      <c r="AJ120" s="3">
        <v>41.0</v>
      </c>
      <c r="AK120" s="3">
        <v>174.0</v>
      </c>
      <c r="AL120" s="3">
        <v>200.0</v>
      </c>
      <c r="AM120" s="3" t="s">
        <v>79</v>
      </c>
      <c r="AN120" s="3" t="s">
        <v>79</v>
      </c>
      <c r="AO120" s="3" t="s">
        <v>79</v>
      </c>
      <c r="AP120" s="3" t="s">
        <v>79</v>
      </c>
      <c r="AQ120" s="3" t="s">
        <v>79</v>
      </c>
      <c r="AR120" s="3" t="s">
        <v>79</v>
      </c>
      <c r="AS120" s="3" t="s">
        <v>79</v>
      </c>
      <c r="AT120" s="3" t="s">
        <v>79</v>
      </c>
      <c r="AU120" s="3" t="s">
        <v>79</v>
      </c>
      <c r="AV120" s="3" t="s">
        <v>79</v>
      </c>
      <c r="AW120" s="3" t="s">
        <v>1788</v>
      </c>
      <c r="AX120" s="3">
        <v>2009.0</v>
      </c>
      <c r="AY120" s="3">
        <v>179.0</v>
      </c>
      <c r="AZ120" s="3">
        <v>1.0</v>
      </c>
      <c r="BA120" s="3" t="s">
        <v>79</v>
      </c>
      <c r="BB120" s="3" t="s">
        <v>79</v>
      </c>
      <c r="BC120" s="3" t="s">
        <v>79</v>
      </c>
      <c r="BD120" s="3" t="s">
        <v>79</v>
      </c>
      <c r="BE120" s="3">
        <v>150.0</v>
      </c>
      <c r="BF120" s="3">
        <v>156.0</v>
      </c>
      <c r="BG120" s="3" t="s">
        <v>79</v>
      </c>
      <c r="BH120" s="3" t="s">
        <v>1789</v>
      </c>
      <c r="BI120" s="8" t="str">
        <f>HYPERLINK("http://dx.doi.org/10.1016/j.jneumeth.2009.01.015","http://dx.doi.org/10.1016/j.jneumeth.2009.01.015")</f>
        <v>http://dx.doi.org/10.1016/j.jneumeth.2009.01.015</v>
      </c>
      <c r="BJ120" s="3" t="s">
        <v>79</v>
      </c>
      <c r="BK120" s="3" t="s">
        <v>79</v>
      </c>
      <c r="BL120" s="3" t="s">
        <v>79</v>
      </c>
      <c r="BM120" s="3" t="s">
        <v>79</v>
      </c>
      <c r="BN120" s="3" t="s">
        <v>79</v>
      </c>
      <c r="BO120" s="3" t="s">
        <v>1790</v>
      </c>
      <c r="BP120" s="3" t="s">
        <v>79</v>
      </c>
      <c r="BQ120" s="3" t="s">
        <v>79</v>
      </c>
      <c r="BR120" s="3" t="s">
        <v>79</v>
      </c>
      <c r="BS120" s="3" t="s">
        <v>79</v>
      </c>
      <c r="BT120" s="3" t="s">
        <v>79</v>
      </c>
      <c r="BU120" s="3" t="s">
        <v>95</v>
      </c>
      <c r="BV120" s="3" t="s">
        <v>1791</v>
      </c>
      <c r="BW120" s="3" t="str">
        <f>HYPERLINK("https%3A%2F%2Fwww.webofscience.com%2Fwos%2Fwoscc%2Ffull-record%2FWOS:000265006700021","View Full Record in Web of Science")</f>
        <v>View Full Record in Web of Science</v>
      </c>
    </row>
    <row r="121" ht="12.75" customHeight="1">
      <c r="A121" s="13"/>
      <c r="B121" s="12"/>
      <c r="C121" s="13"/>
      <c r="D121" s="13" t="s">
        <v>185</v>
      </c>
      <c r="E121" s="3" t="s">
        <v>1792</v>
      </c>
      <c r="F121" s="3" t="s">
        <v>79</v>
      </c>
      <c r="G121" s="3" t="s">
        <v>79</v>
      </c>
      <c r="H121" s="3" t="s">
        <v>79</v>
      </c>
      <c r="I121" s="3" t="s">
        <v>1793</v>
      </c>
      <c r="J121" s="3" t="s">
        <v>79</v>
      </c>
      <c r="K121" s="3" t="s">
        <v>79</v>
      </c>
      <c r="L121" s="3" t="s">
        <v>1794</v>
      </c>
      <c r="M121" s="3" t="s">
        <v>1795</v>
      </c>
      <c r="N121" s="3" t="s">
        <v>79</v>
      </c>
      <c r="O121" s="3" t="s">
        <v>79</v>
      </c>
      <c r="P121" s="3" t="s">
        <v>79</v>
      </c>
      <c r="Q121" s="3" t="s">
        <v>190</v>
      </c>
      <c r="R121" s="3" t="s">
        <v>79</v>
      </c>
      <c r="S121" s="3" t="s">
        <v>79</v>
      </c>
      <c r="T121" s="3" t="s">
        <v>79</v>
      </c>
      <c r="U121" s="3" t="s">
        <v>79</v>
      </c>
      <c r="V121" s="3" t="s">
        <v>79</v>
      </c>
      <c r="W121" s="3" t="s">
        <v>1796</v>
      </c>
      <c r="X121" s="3" t="s">
        <v>1797</v>
      </c>
      <c r="Y121" s="3" t="s">
        <v>1798</v>
      </c>
      <c r="Z121" s="3" t="s">
        <v>1799</v>
      </c>
      <c r="AA121" s="3" t="s">
        <v>1800</v>
      </c>
      <c r="AB121" s="3" t="s">
        <v>1801</v>
      </c>
      <c r="AC121" s="3" t="s">
        <v>1802</v>
      </c>
      <c r="AD121" s="3" t="s">
        <v>1803</v>
      </c>
      <c r="AE121" s="3" t="s">
        <v>79</v>
      </c>
      <c r="AF121" s="3" t="s">
        <v>79</v>
      </c>
      <c r="AG121" s="3" t="s">
        <v>79</v>
      </c>
      <c r="AH121" s="3" t="s">
        <v>79</v>
      </c>
      <c r="AI121" s="3" t="s">
        <v>79</v>
      </c>
      <c r="AJ121" s="3">
        <v>29.0</v>
      </c>
      <c r="AK121" s="3">
        <v>64.0</v>
      </c>
      <c r="AL121" s="3">
        <v>68.0</v>
      </c>
      <c r="AM121" s="3" t="s">
        <v>79</v>
      </c>
      <c r="AN121" s="3" t="s">
        <v>79</v>
      </c>
      <c r="AO121" s="3" t="s">
        <v>79</v>
      </c>
      <c r="AP121" s="3" t="s">
        <v>79</v>
      </c>
      <c r="AQ121" s="3" t="s">
        <v>79</v>
      </c>
      <c r="AR121" s="3" t="s">
        <v>79</v>
      </c>
      <c r="AS121" s="3" t="s">
        <v>79</v>
      </c>
      <c r="AT121" s="3" t="s">
        <v>79</v>
      </c>
      <c r="AU121" s="3" t="s">
        <v>79</v>
      </c>
      <c r="AV121" s="3" t="s">
        <v>79</v>
      </c>
      <c r="AW121" s="3" t="s">
        <v>482</v>
      </c>
      <c r="AX121" s="3">
        <v>2015.0</v>
      </c>
      <c r="AY121" s="3">
        <v>7.0</v>
      </c>
      <c r="AZ121" s="3">
        <v>4.0</v>
      </c>
      <c r="BA121" s="3" t="s">
        <v>79</v>
      </c>
      <c r="BB121" s="3" t="s">
        <v>79</v>
      </c>
      <c r="BC121" s="3" t="s">
        <v>79</v>
      </c>
      <c r="BD121" s="3" t="s">
        <v>79</v>
      </c>
      <c r="BE121" s="3">
        <v>332.0</v>
      </c>
      <c r="BF121" s="3">
        <v>341.0</v>
      </c>
      <c r="BG121" s="3" t="s">
        <v>79</v>
      </c>
      <c r="BH121" s="3" t="s">
        <v>1804</v>
      </c>
      <c r="BI121" s="8" t="str">
        <f>HYPERLINK("http://dx.doi.org/10.1109/TAMD.2015.2434951","http://dx.doi.org/10.1109/TAMD.2015.2434951")</f>
        <v>http://dx.doi.org/10.1109/TAMD.2015.2434951</v>
      </c>
      <c r="BJ121" s="3" t="s">
        <v>79</v>
      </c>
      <c r="BK121" s="3" t="s">
        <v>79</v>
      </c>
      <c r="BL121" s="3" t="s">
        <v>79</v>
      </c>
      <c r="BM121" s="3" t="s">
        <v>79</v>
      </c>
      <c r="BN121" s="3" t="s">
        <v>79</v>
      </c>
      <c r="BO121" s="3" t="s">
        <v>1805</v>
      </c>
      <c r="BP121" s="3" t="s">
        <v>79</v>
      </c>
      <c r="BQ121" s="3" t="s">
        <v>79</v>
      </c>
      <c r="BR121" s="3" t="s">
        <v>79</v>
      </c>
      <c r="BS121" s="3" t="s">
        <v>79</v>
      </c>
      <c r="BT121" s="3" t="s">
        <v>79</v>
      </c>
      <c r="BU121" s="3" t="s">
        <v>95</v>
      </c>
      <c r="BV121" s="3" t="s">
        <v>1806</v>
      </c>
      <c r="BW121" s="3" t="str">
        <f>HYPERLINK("https%3A%2F%2Fwww.webofscience.com%2Fwos%2Fwoscc%2Ffull-record%2FWOS:000366614800007","View Full Record in Web of Science")</f>
        <v>View Full Record in Web of Science</v>
      </c>
    </row>
    <row r="122" ht="12.75" customHeight="1">
      <c r="A122" s="13"/>
      <c r="B122" s="12"/>
      <c r="C122" s="13"/>
      <c r="D122" s="13" t="s">
        <v>185</v>
      </c>
      <c r="E122" s="3" t="s">
        <v>1807</v>
      </c>
      <c r="F122" s="3" t="s">
        <v>79</v>
      </c>
      <c r="G122" s="3" t="s">
        <v>79</v>
      </c>
      <c r="H122" s="3" t="s">
        <v>79</v>
      </c>
      <c r="I122" s="3" t="s">
        <v>1808</v>
      </c>
      <c r="J122" s="3" t="s">
        <v>79</v>
      </c>
      <c r="K122" s="3" t="s">
        <v>79</v>
      </c>
      <c r="L122" s="3" t="s">
        <v>1809</v>
      </c>
      <c r="M122" s="3" t="s">
        <v>1810</v>
      </c>
      <c r="N122" s="3" t="s">
        <v>79</v>
      </c>
      <c r="O122" s="3" t="s">
        <v>79</v>
      </c>
      <c r="P122" s="3" t="s">
        <v>79</v>
      </c>
      <c r="Q122" s="3" t="s">
        <v>190</v>
      </c>
      <c r="R122" s="3" t="s">
        <v>79</v>
      </c>
      <c r="S122" s="3" t="s">
        <v>79</v>
      </c>
      <c r="T122" s="3" t="s">
        <v>79</v>
      </c>
      <c r="U122" s="3" t="s">
        <v>79</v>
      </c>
      <c r="V122" s="3" t="s">
        <v>79</v>
      </c>
      <c r="W122" s="3" t="s">
        <v>1811</v>
      </c>
      <c r="X122" s="3" t="s">
        <v>1812</v>
      </c>
      <c r="Y122" s="3" t="s">
        <v>1813</v>
      </c>
      <c r="Z122" s="3" t="s">
        <v>1814</v>
      </c>
      <c r="AA122" s="3" t="s">
        <v>1815</v>
      </c>
      <c r="AB122" s="3" t="s">
        <v>1562</v>
      </c>
      <c r="AC122" s="3" t="s">
        <v>1563</v>
      </c>
      <c r="AD122" s="3" t="s">
        <v>1816</v>
      </c>
      <c r="AE122" s="3" t="s">
        <v>1817</v>
      </c>
      <c r="AF122" s="3" t="s">
        <v>79</v>
      </c>
      <c r="AG122" s="3" t="s">
        <v>79</v>
      </c>
      <c r="AH122" s="3" t="s">
        <v>79</v>
      </c>
      <c r="AI122" s="3" t="s">
        <v>79</v>
      </c>
      <c r="AJ122" s="3">
        <v>36.0</v>
      </c>
      <c r="AK122" s="3">
        <v>229.0</v>
      </c>
      <c r="AL122" s="3">
        <v>260.0</v>
      </c>
      <c r="AM122" s="3" t="s">
        <v>79</v>
      </c>
      <c r="AN122" s="3" t="s">
        <v>79</v>
      </c>
      <c r="AO122" s="3" t="s">
        <v>79</v>
      </c>
      <c r="AP122" s="3" t="s">
        <v>79</v>
      </c>
      <c r="AQ122" s="3" t="s">
        <v>79</v>
      </c>
      <c r="AR122" s="3" t="s">
        <v>79</v>
      </c>
      <c r="AS122" s="3" t="s">
        <v>79</v>
      </c>
      <c r="AT122" s="3" t="s">
        <v>79</v>
      </c>
      <c r="AU122" s="3" t="s">
        <v>79</v>
      </c>
      <c r="AV122" s="3" t="s">
        <v>79</v>
      </c>
      <c r="AW122" s="3" t="s">
        <v>1239</v>
      </c>
      <c r="AX122" s="3">
        <v>2010.0</v>
      </c>
      <c r="AY122" s="3">
        <v>57.0</v>
      </c>
      <c r="AZ122" s="3">
        <v>10.0</v>
      </c>
      <c r="BA122" s="3">
        <v>1.0</v>
      </c>
      <c r="BB122" s="3" t="s">
        <v>79</v>
      </c>
      <c r="BC122" s="3" t="s">
        <v>79</v>
      </c>
      <c r="BD122" s="3" t="s">
        <v>79</v>
      </c>
      <c r="BE122" s="3">
        <v>2495.0</v>
      </c>
      <c r="BF122" s="3">
        <v>2505.0</v>
      </c>
      <c r="BG122" s="3" t="s">
        <v>79</v>
      </c>
      <c r="BH122" s="3" t="s">
        <v>1818</v>
      </c>
      <c r="BI122" s="8" t="str">
        <f>HYPERLINK("http://dx.doi.org/10.1109/TBME.2010.2055564","http://dx.doi.org/10.1109/TBME.2010.2055564")</f>
        <v>http://dx.doi.org/10.1109/TBME.2010.2055564</v>
      </c>
      <c r="BJ122" s="3" t="s">
        <v>79</v>
      </c>
      <c r="BK122" s="3" t="s">
        <v>79</v>
      </c>
      <c r="BL122" s="3" t="s">
        <v>79</v>
      </c>
      <c r="BM122" s="3" t="s">
        <v>79</v>
      </c>
      <c r="BN122" s="3" t="s">
        <v>79</v>
      </c>
      <c r="BO122" s="3" t="s">
        <v>139</v>
      </c>
      <c r="BP122" s="3" t="s">
        <v>79</v>
      </c>
      <c r="BQ122" s="3" t="s">
        <v>79</v>
      </c>
      <c r="BR122" s="3" t="s">
        <v>79</v>
      </c>
      <c r="BS122" s="3" t="s">
        <v>79</v>
      </c>
      <c r="BT122" s="3" t="s">
        <v>79</v>
      </c>
      <c r="BU122" s="3" t="s">
        <v>95</v>
      </c>
      <c r="BV122" s="3" t="s">
        <v>1819</v>
      </c>
      <c r="BW122" s="3" t="str">
        <f>HYPERLINK("https%3A%2F%2Fwww.webofscience.com%2Fwos%2Fwoscc%2Ffull-record%2FWOS:000283589600017","View Full Record in Web of Science")</f>
        <v>View Full Record in Web of Science</v>
      </c>
    </row>
    <row r="123" ht="12.75" customHeight="1">
      <c r="A123" s="13"/>
      <c r="B123" s="12"/>
      <c r="C123" s="13"/>
      <c r="D123" s="13" t="s">
        <v>185</v>
      </c>
      <c r="E123" s="3" t="s">
        <v>1820</v>
      </c>
      <c r="F123" s="3" t="s">
        <v>79</v>
      </c>
      <c r="G123" s="3" t="s">
        <v>79</v>
      </c>
      <c r="H123" s="3" t="s">
        <v>79</v>
      </c>
      <c r="I123" s="3" t="s">
        <v>1821</v>
      </c>
      <c r="J123" s="3" t="s">
        <v>79</v>
      </c>
      <c r="K123" s="3" t="s">
        <v>79</v>
      </c>
      <c r="L123" s="3" t="s">
        <v>1822</v>
      </c>
      <c r="M123" s="3" t="s">
        <v>1823</v>
      </c>
      <c r="N123" s="3" t="s">
        <v>79</v>
      </c>
      <c r="O123" s="3" t="s">
        <v>79</v>
      </c>
      <c r="P123" s="3" t="s">
        <v>79</v>
      </c>
      <c r="Q123" s="3" t="s">
        <v>190</v>
      </c>
      <c r="R123" s="3" t="s">
        <v>79</v>
      </c>
      <c r="S123" s="3" t="s">
        <v>79</v>
      </c>
      <c r="T123" s="3" t="s">
        <v>79</v>
      </c>
      <c r="U123" s="3" t="s">
        <v>79</v>
      </c>
      <c r="V123" s="3" t="s">
        <v>79</v>
      </c>
      <c r="W123" s="3" t="s">
        <v>1824</v>
      </c>
      <c r="X123" s="3" t="s">
        <v>1825</v>
      </c>
      <c r="Y123" s="3" t="s">
        <v>1826</v>
      </c>
      <c r="Z123" s="3" t="s">
        <v>1827</v>
      </c>
      <c r="AA123" s="3" t="s">
        <v>1828</v>
      </c>
      <c r="AB123" s="3" t="s">
        <v>1829</v>
      </c>
      <c r="AC123" s="3" t="s">
        <v>1830</v>
      </c>
      <c r="AD123" s="3" t="s">
        <v>79</v>
      </c>
      <c r="AE123" s="3" t="s">
        <v>79</v>
      </c>
      <c r="AF123" s="3" t="s">
        <v>79</v>
      </c>
      <c r="AG123" s="3" t="s">
        <v>79</v>
      </c>
      <c r="AH123" s="3" t="s">
        <v>79</v>
      </c>
      <c r="AI123" s="3" t="s">
        <v>79</v>
      </c>
      <c r="AJ123" s="3">
        <v>39.0</v>
      </c>
      <c r="AK123" s="3">
        <v>1.0</v>
      </c>
      <c r="AL123" s="3">
        <v>1.0</v>
      </c>
      <c r="AM123" s="3" t="s">
        <v>79</v>
      </c>
      <c r="AN123" s="3" t="s">
        <v>79</v>
      </c>
      <c r="AO123" s="3" t="s">
        <v>79</v>
      </c>
      <c r="AP123" s="3" t="s">
        <v>79</v>
      </c>
      <c r="AQ123" s="3" t="s">
        <v>79</v>
      </c>
      <c r="AR123" s="3" t="s">
        <v>79</v>
      </c>
      <c r="AS123" s="3" t="s">
        <v>79</v>
      </c>
      <c r="AT123" s="3" t="s">
        <v>79</v>
      </c>
      <c r="AU123" s="3" t="s">
        <v>79</v>
      </c>
      <c r="AV123" s="3" t="s">
        <v>79</v>
      </c>
      <c r="AW123" s="3" t="s">
        <v>1831</v>
      </c>
      <c r="AX123" s="3">
        <v>2025.0</v>
      </c>
      <c r="AY123" s="3">
        <v>620.0</v>
      </c>
      <c r="AZ123" s="3" t="s">
        <v>79</v>
      </c>
      <c r="BA123" s="3" t="s">
        <v>79</v>
      </c>
      <c r="BB123" s="3" t="s">
        <v>79</v>
      </c>
      <c r="BC123" s="3" t="s">
        <v>79</v>
      </c>
      <c r="BD123" s="3" t="s">
        <v>79</v>
      </c>
      <c r="BE123" s="3" t="s">
        <v>79</v>
      </c>
      <c r="BF123" s="3" t="s">
        <v>79</v>
      </c>
      <c r="BG123" s="3">
        <v>129255.0</v>
      </c>
      <c r="BH123" s="3" t="s">
        <v>1832</v>
      </c>
      <c r="BI123" s="8" t="str">
        <f>HYPERLINK("http://dx.doi.org/10.1016/j.neucom.2024.129255","http://dx.doi.org/10.1016/j.neucom.2024.129255")</f>
        <v>http://dx.doi.org/10.1016/j.neucom.2024.129255</v>
      </c>
      <c r="BJ123" s="3" t="s">
        <v>79</v>
      </c>
      <c r="BK123" s="3" t="s">
        <v>1833</v>
      </c>
      <c r="BL123" s="3" t="s">
        <v>79</v>
      </c>
      <c r="BM123" s="3" t="s">
        <v>79</v>
      </c>
      <c r="BN123" s="3" t="s">
        <v>79</v>
      </c>
      <c r="BO123" s="3" t="s">
        <v>275</v>
      </c>
      <c r="BP123" s="3" t="s">
        <v>79</v>
      </c>
      <c r="BQ123" s="3" t="s">
        <v>79</v>
      </c>
      <c r="BR123" s="3" t="s">
        <v>79</v>
      </c>
      <c r="BS123" s="3" t="s">
        <v>79</v>
      </c>
      <c r="BT123" s="3" t="s">
        <v>79</v>
      </c>
      <c r="BU123" s="3" t="s">
        <v>95</v>
      </c>
      <c r="BV123" s="3" t="s">
        <v>1834</v>
      </c>
      <c r="BW123" s="3" t="str">
        <f>HYPERLINK("https%3A%2F%2Fwww.webofscience.com%2Fwos%2Fwoscc%2Ffull-record%2FWOS:001410395100001","View Full Record in Web of Science")</f>
        <v>View Full Record in Web of Science</v>
      </c>
    </row>
    <row r="124" ht="12.75" customHeight="1">
      <c r="A124" s="13"/>
      <c r="B124" s="12"/>
      <c r="C124" s="13"/>
      <c r="D124" s="13" t="s">
        <v>185</v>
      </c>
      <c r="E124" s="3" t="s">
        <v>1835</v>
      </c>
      <c r="F124" s="3" t="s">
        <v>79</v>
      </c>
      <c r="G124" s="3" t="s">
        <v>79</v>
      </c>
      <c r="H124" s="3" t="s">
        <v>79</v>
      </c>
      <c r="I124" s="3" t="s">
        <v>1836</v>
      </c>
      <c r="J124" s="3" t="s">
        <v>79</v>
      </c>
      <c r="K124" s="3" t="s">
        <v>79</v>
      </c>
      <c r="L124" s="3" t="s">
        <v>1837</v>
      </c>
      <c r="M124" s="3" t="s">
        <v>518</v>
      </c>
      <c r="N124" s="3" t="s">
        <v>79</v>
      </c>
      <c r="O124" s="3" t="s">
        <v>79</v>
      </c>
      <c r="P124" s="3" t="s">
        <v>79</v>
      </c>
      <c r="Q124" s="3" t="s">
        <v>190</v>
      </c>
      <c r="R124" s="3" t="s">
        <v>79</v>
      </c>
      <c r="S124" s="3" t="s">
        <v>79</v>
      </c>
      <c r="T124" s="3" t="s">
        <v>79</v>
      </c>
      <c r="U124" s="3" t="s">
        <v>79</v>
      </c>
      <c r="V124" s="3" t="s">
        <v>79</v>
      </c>
      <c r="W124" s="3" t="s">
        <v>1838</v>
      </c>
      <c r="X124" s="3" t="s">
        <v>1839</v>
      </c>
      <c r="Y124" s="3" t="s">
        <v>1840</v>
      </c>
      <c r="Z124" s="3" t="s">
        <v>1841</v>
      </c>
      <c r="AA124" s="3" t="s">
        <v>1842</v>
      </c>
      <c r="AB124" s="3" t="s">
        <v>1843</v>
      </c>
      <c r="AC124" s="3" t="s">
        <v>1844</v>
      </c>
      <c r="AD124" s="3" t="s">
        <v>1845</v>
      </c>
      <c r="AE124" s="3" t="s">
        <v>1846</v>
      </c>
      <c r="AF124" s="3" t="s">
        <v>79</v>
      </c>
      <c r="AG124" s="3" t="s">
        <v>79</v>
      </c>
      <c r="AH124" s="3" t="s">
        <v>79</v>
      </c>
      <c r="AI124" s="3" t="s">
        <v>79</v>
      </c>
      <c r="AJ124" s="3">
        <v>32.0</v>
      </c>
      <c r="AK124" s="3">
        <v>53.0</v>
      </c>
      <c r="AL124" s="3">
        <v>60.0</v>
      </c>
      <c r="AM124" s="3" t="s">
        <v>79</v>
      </c>
      <c r="AN124" s="3" t="s">
        <v>79</v>
      </c>
      <c r="AO124" s="3" t="s">
        <v>79</v>
      </c>
      <c r="AP124" s="3" t="s">
        <v>79</v>
      </c>
      <c r="AQ124" s="3" t="s">
        <v>79</v>
      </c>
      <c r="AR124" s="3" t="s">
        <v>79</v>
      </c>
      <c r="AS124" s="3" t="s">
        <v>79</v>
      </c>
      <c r="AT124" s="3" t="s">
        <v>79</v>
      </c>
      <c r="AU124" s="3" t="s">
        <v>79</v>
      </c>
      <c r="AV124" s="3" t="s">
        <v>79</v>
      </c>
      <c r="AW124" s="3" t="s">
        <v>785</v>
      </c>
      <c r="AX124" s="3">
        <v>2022.0</v>
      </c>
      <c r="AY124" s="3">
        <v>72.0</v>
      </c>
      <c r="AZ124" s="3" t="s">
        <v>79</v>
      </c>
      <c r="BA124" s="3" t="s">
        <v>1847</v>
      </c>
      <c r="BB124" s="3" t="s">
        <v>79</v>
      </c>
      <c r="BC124" s="3" t="s">
        <v>79</v>
      </c>
      <c r="BD124" s="3" t="s">
        <v>79</v>
      </c>
      <c r="BE124" s="3" t="s">
        <v>79</v>
      </c>
      <c r="BF124" s="3" t="s">
        <v>79</v>
      </c>
      <c r="BG124" s="3">
        <v>103295.0</v>
      </c>
      <c r="BH124" s="3" t="s">
        <v>1848</v>
      </c>
      <c r="BI124" s="8" t="str">
        <f>HYPERLINK("http://dx.doi.org/10.1016/j.bspc.2021.103295","http://dx.doi.org/10.1016/j.bspc.2021.103295")</f>
        <v>http://dx.doi.org/10.1016/j.bspc.2021.103295</v>
      </c>
      <c r="BJ124" s="3" t="s">
        <v>79</v>
      </c>
      <c r="BK124" s="3" t="s">
        <v>1849</v>
      </c>
      <c r="BL124" s="3" t="s">
        <v>79</v>
      </c>
      <c r="BM124" s="3" t="s">
        <v>79</v>
      </c>
      <c r="BN124" s="3" t="s">
        <v>79</v>
      </c>
      <c r="BO124" s="3" t="s">
        <v>139</v>
      </c>
      <c r="BP124" s="3" t="s">
        <v>79</v>
      </c>
      <c r="BQ124" s="3" t="s">
        <v>79</v>
      </c>
      <c r="BR124" s="3" t="s">
        <v>79</v>
      </c>
      <c r="BS124" s="3" t="s">
        <v>79</v>
      </c>
      <c r="BT124" s="3" t="s">
        <v>79</v>
      </c>
      <c r="BU124" s="3" t="s">
        <v>95</v>
      </c>
      <c r="BV124" s="3" t="s">
        <v>1850</v>
      </c>
      <c r="BW124" s="3" t="str">
        <f>HYPERLINK("https%3A%2F%2Fwww.webofscience.com%2Fwos%2Fwoscc%2Ffull-record%2FWOS:000718888600008","View Full Record in Web of Science")</f>
        <v>View Full Record in Web of Science</v>
      </c>
    </row>
    <row r="125" ht="12.75" customHeight="1">
      <c r="A125" s="13"/>
      <c r="B125" s="12"/>
      <c r="C125" s="13"/>
      <c r="D125" s="13" t="s">
        <v>77</v>
      </c>
      <c r="E125" s="3" t="s">
        <v>1851</v>
      </c>
      <c r="F125" s="3" t="s">
        <v>79</v>
      </c>
      <c r="G125" s="3" t="s">
        <v>79</v>
      </c>
      <c r="H125" s="3" t="s">
        <v>79</v>
      </c>
      <c r="I125" s="3" t="s">
        <v>1852</v>
      </c>
      <c r="J125" s="3" t="s">
        <v>79</v>
      </c>
      <c r="K125" s="3" t="s">
        <v>79</v>
      </c>
      <c r="L125" s="3" t="s">
        <v>1853</v>
      </c>
      <c r="M125" s="3" t="s">
        <v>1854</v>
      </c>
      <c r="N125" s="3" t="s">
        <v>79</v>
      </c>
      <c r="O125" s="3" t="s">
        <v>79</v>
      </c>
      <c r="P125" s="3" t="s">
        <v>79</v>
      </c>
      <c r="Q125" s="3" t="s">
        <v>84</v>
      </c>
      <c r="R125" s="3" t="s">
        <v>79</v>
      </c>
      <c r="S125" s="3" t="s">
        <v>79</v>
      </c>
      <c r="T125" s="3" t="s">
        <v>79</v>
      </c>
      <c r="U125" s="3" t="s">
        <v>79</v>
      </c>
      <c r="V125" s="3" t="s">
        <v>79</v>
      </c>
      <c r="W125" s="3" t="s">
        <v>1855</v>
      </c>
      <c r="X125" s="3" t="s">
        <v>1856</v>
      </c>
      <c r="Y125" s="3" t="s">
        <v>1857</v>
      </c>
      <c r="Z125" s="3" t="s">
        <v>1858</v>
      </c>
      <c r="AA125" s="3" t="s">
        <v>1859</v>
      </c>
      <c r="AB125" s="3" t="s">
        <v>1860</v>
      </c>
      <c r="AC125" s="3" t="s">
        <v>1861</v>
      </c>
      <c r="AD125" s="3" t="s">
        <v>1862</v>
      </c>
      <c r="AE125" s="3" t="s">
        <v>1863</v>
      </c>
      <c r="AF125" s="3" t="s">
        <v>79</v>
      </c>
      <c r="AG125" s="3" t="s">
        <v>79</v>
      </c>
      <c r="AH125" s="3" t="s">
        <v>79</v>
      </c>
      <c r="AI125" s="3" t="s">
        <v>79</v>
      </c>
      <c r="AJ125" s="3">
        <v>32.0</v>
      </c>
      <c r="AK125" s="3">
        <v>0.0</v>
      </c>
      <c r="AL125" s="3">
        <v>0.0</v>
      </c>
      <c r="AM125" s="3" t="s">
        <v>79</v>
      </c>
      <c r="AN125" s="3" t="s">
        <v>79</v>
      </c>
      <c r="AO125" s="3" t="s">
        <v>79</v>
      </c>
      <c r="AP125" s="3" t="s">
        <v>79</v>
      </c>
      <c r="AQ125" s="3" t="s">
        <v>79</v>
      </c>
      <c r="AR125" s="3" t="s">
        <v>79</v>
      </c>
      <c r="AS125" s="3" t="s">
        <v>79</v>
      </c>
      <c r="AT125" s="3" t="s">
        <v>79</v>
      </c>
      <c r="AU125" s="3" t="s">
        <v>79</v>
      </c>
      <c r="AV125" s="3" t="s">
        <v>79</v>
      </c>
      <c r="AW125" s="3" t="s">
        <v>79</v>
      </c>
      <c r="AX125" s="3">
        <v>2021.0</v>
      </c>
      <c r="AY125" s="3">
        <v>54.0</v>
      </c>
      <c r="AZ125" s="3">
        <v>21.0</v>
      </c>
      <c r="BA125" s="3" t="s">
        <v>79</v>
      </c>
      <c r="BB125" s="3" t="s">
        <v>79</v>
      </c>
      <c r="BC125" s="3" t="s">
        <v>291</v>
      </c>
      <c r="BD125" s="3" t="s">
        <v>79</v>
      </c>
      <c r="BE125" s="3">
        <v>109.0</v>
      </c>
      <c r="BF125" s="3">
        <v>114.0</v>
      </c>
      <c r="BG125" s="3" t="s">
        <v>79</v>
      </c>
      <c r="BH125" s="3" t="s">
        <v>1864</v>
      </c>
      <c r="BI125" s="8" t="str">
        <f>HYPERLINK("http://dx.doi.org/10.1016/j.ifacol.2021.12.019","http://dx.doi.org/10.1016/j.ifacol.2021.12.019")</f>
        <v>http://dx.doi.org/10.1016/j.ifacol.2021.12.019</v>
      </c>
      <c r="BJ125" s="3" t="s">
        <v>79</v>
      </c>
      <c r="BK125" s="3" t="s">
        <v>79</v>
      </c>
      <c r="BL125" s="3" t="s">
        <v>79</v>
      </c>
      <c r="BM125" s="3" t="s">
        <v>79</v>
      </c>
      <c r="BN125" s="3" t="s">
        <v>79</v>
      </c>
      <c r="BO125" s="3" t="s">
        <v>1663</v>
      </c>
      <c r="BP125" s="3" t="s">
        <v>79</v>
      </c>
      <c r="BQ125" s="3" t="s">
        <v>79</v>
      </c>
      <c r="BR125" s="3" t="s">
        <v>79</v>
      </c>
      <c r="BS125" s="3" t="s">
        <v>79</v>
      </c>
      <c r="BT125" s="3" t="s">
        <v>79</v>
      </c>
      <c r="BU125" s="3" t="s">
        <v>95</v>
      </c>
      <c r="BV125" s="3" t="s">
        <v>1865</v>
      </c>
      <c r="BW125" s="3" t="str">
        <f>HYPERLINK("https%3A%2F%2Fwww.webofscience.com%2Fwos%2Fwoscc%2Ffull-record%2FWOS:000797674800019","View Full Record in Web of Science")</f>
        <v>View Full Record in Web of Science</v>
      </c>
    </row>
    <row r="126" ht="12.75" customHeight="1">
      <c r="A126" s="13"/>
      <c r="B126" s="12"/>
      <c r="C126" s="13"/>
      <c r="D126" s="13" t="s">
        <v>185</v>
      </c>
      <c r="E126" s="3" t="s">
        <v>1866</v>
      </c>
      <c r="F126" s="3" t="s">
        <v>79</v>
      </c>
      <c r="G126" s="3" t="s">
        <v>79</v>
      </c>
      <c r="H126" s="3" t="s">
        <v>79</v>
      </c>
      <c r="I126" s="3" t="s">
        <v>1867</v>
      </c>
      <c r="J126" s="3" t="s">
        <v>79</v>
      </c>
      <c r="K126" s="3" t="s">
        <v>79</v>
      </c>
      <c r="L126" s="3" t="s">
        <v>1868</v>
      </c>
      <c r="M126" s="3" t="s">
        <v>1869</v>
      </c>
      <c r="N126" s="3" t="s">
        <v>79</v>
      </c>
      <c r="O126" s="3" t="s">
        <v>79</v>
      </c>
      <c r="P126" s="3" t="s">
        <v>79</v>
      </c>
      <c r="Q126" s="3" t="s">
        <v>190</v>
      </c>
      <c r="R126" s="3" t="s">
        <v>79</v>
      </c>
      <c r="S126" s="3" t="s">
        <v>79</v>
      </c>
      <c r="T126" s="3" t="s">
        <v>79</v>
      </c>
      <c r="U126" s="3" t="s">
        <v>79</v>
      </c>
      <c r="V126" s="3" t="s">
        <v>79</v>
      </c>
      <c r="W126" s="3" t="s">
        <v>1870</v>
      </c>
      <c r="X126" s="3" t="s">
        <v>79</v>
      </c>
      <c r="Y126" s="3" t="s">
        <v>1871</v>
      </c>
      <c r="Z126" s="3" t="s">
        <v>1872</v>
      </c>
      <c r="AA126" s="3" t="s">
        <v>1873</v>
      </c>
      <c r="AB126" s="3" t="s">
        <v>1874</v>
      </c>
      <c r="AC126" s="3" t="s">
        <v>1875</v>
      </c>
      <c r="AD126" s="3" t="s">
        <v>1876</v>
      </c>
      <c r="AE126" s="3" t="s">
        <v>1877</v>
      </c>
      <c r="AF126" s="3" t="s">
        <v>79</v>
      </c>
      <c r="AG126" s="3" t="s">
        <v>79</v>
      </c>
      <c r="AH126" s="3" t="s">
        <v>79</v>
      </c>
      <c r="AI126" s="3" t="s">
        <v>79</v>
      </c>
      <c r="AJ126" s="3">
        <v>16.0</v>
      </c>
      <c r="AK126" s="3">
        <v>1.0</v>
      </c>
      <c r="AL126" s="3">
        <v>1.0</v>
      </c>
      <c r="AM126" s="3" t="s">
        <v>79</v>
      </c>
      <c r="AN126" s="3" t="s">
        <v>79</v>
      </c>
      <c r="AO126" s="3" t="s">
        <v>79</v>
      </c>
      <c r="AP126" s="3" t="s">
        <v>79</v>
      </c>
      <c r="AQ126" s="3" t="s">
        <v>79</v>
      </c>
      <c r="AR126" s="3" t="s">
        <v>79</v>
      </c>
      <c r="AS126" s="3" t="s">
        <v>79</v>
      </c>
      <c r="AT126" s="3" t="s">
        <v>79</v>
      </c>
      <c r="AU126" s="3" t="s">
        <v>79</v>
      </c>
      <c r="AV126" s="3" t="s">
        <v>79</v>
      </c>
      <c r="AW126" s="3" t="s">
        <v>1878</v>
      </c>
      <c r="AX126" s="3">
        <v>2023.0</v>
      </c>
      <c r="AY126" s="3">
        <v>23.0</v>
      </c>
      <c r="AZ126" s="3">
        <v>6.0</v>
      </c>
      <c r="BA126" s="3" t="s">
        <v>79</v>
      </c>
      <c r="BB126" s="3" t="s">
        <v>79</v>
      </c>
      <c r="BC126" s="3" t="s">
        <v>79</v>
      </c>
      <c r="BD126" s="3" t="s">
        <v>79</v>
      </c>
      <c r="BE126" s="3">
        <v>248.0</v>
      </c>
      <c r="BF126" s="3">
        <v>253.0</v>
      </c>
      <c r="BG126" s="3" t="s">
        <v>79</v>
      </c>
      <c r="BH126" s="3" t="s">
        <v>1879</v>
      </c>
      <c r="BI126" s="8" t="str">
        <f>HYPERLINK("http://dx.doi.org/10.2478/msr-2023-0031","http://dx.doi.org/10.2478/msr-2023-0031")</f>
        <v>http://dx.doi.org/10.2478/msr-2023-0031</v>
      </c>
      <c r="BJ126" s="3" t="s">
        <v>79</v>
      </c>
      <c r="BK126" s="3" t="s">
        <v>79</v>
      </c>
      <c r="BL126" s="3" t="s">
        <v>79</v>
      </c>
      <c r="BM126" s="3" t="s">
        <v>79</v>
      </c>
      <c r="BN126" s="3" t="s">
        <v>79</v>
      </c>
      <c r="BO126" s="3" t="s">
        <v>1880</v>
      </c>
      <c r="BP126" s="3" t="s">
        <v>79</v>
      </c>
      <c r="BQ126" s="3" t="s">
        <v>79</v>
      </c>
      <c r="BR126" s="3" t="s">
        <v>79</v>
      </c>
      <c r="BS126" s="3" t="s">
        <v>79</v>
      </c>
      <c r="BT126" s="3" t="s">
        <v>79</v>
      </c>
      <c r="BU126" s="3" t="s">
        <v>95</v>
      </c>
      <c r="BV126" s="3" t="s">
        <v>1881</v>
      </c>
      <c r="BW126" s="3" t="str">
        <f>HYPERLINK("https%3A%2F%2Fwww.webofscience.com%2Fwos%2Fwoscc%2Ffull-record%2FWOS:001111312600005","View Full Record in Web of Science")</f>
        <v>View Full Record in Web of Science</v>
      </c>
    </row>
    <row r="127" ht="12.75" customHeight="1">
      <c r="A127" s="13"/>
      <c r="B127" s="12"/>
      <c r="C127" s="13"/>
      <c r="D127" s="13" t="s">
        <v>77</v>
      </c>
      <c r="E127" s="3" t="s">
        <v>1882</v>
      </c>
      <c r="F127" s="3" t="s">
        <v>79</v>
      </c>
      <c r="G127" s="3" t="s">
        <v>79</v>
      </c>
      <c r="H127" s="3" t="s">
        <v>80</v>
      </c>
      <c r="I127" s="3" t="s">
        <v>1883</v>
      </c>
      <c r="J127" s="3" t="s">
        <v>79</v>
      </c>
      <c r="K127" s="3" t="s">
        <v>79</v>
      </c>
      <c r="L127" s="3" t="s">
        <v>1884</v>
      </c>
      <c r="M127" s="3" t="s">
        <v>1885</v>
      </c>
      <c r="N127" s="3" t="s">
        <v>254</v>
      </c>
      <c r="O127" s="3" t="s">
        <v>79</v>
      </c>
      <c r="P127" s="3" t="s">
        <v>79</v>
      </c>
      <c r="Q127" s="3" t="s">
        <v>84</v>
      </c>
      <c r="R127" s="3" t="s">
        <v>79</v>
      </c>
      <c r="S127" s="3" t="s">
        <v>79</v>
      </c>
      <c r="T127" s="3" t="s">
        <v>79</v>
      </c>
      <c r="U127" s="3" t="s">
        <v>79</v>
      </c>
      <c r="V127" s="3" t="s">
        <v>79</v>
      </c>
      <c r="W127" s="3" t="s">
        <v>79</v>
      </c>
      <c r="X127" s="3" t="s">
        <v>1886</v>
      </c>
      <c r="Y127" s="3" t="s">
        <v>1887</v>
      </c>
      <c r="Z127" s="3" t="s">
        <v>1888</v>
      </c>
      <c r="AA127" s="3" t="s">
        <v>1889</v>
      </c>
      <c r="AB127" s="3" t="s">
        <v>1890</v>
      </c>
      <c r="AC127" s="3" t="s">
        <v>1891</v>
      </c>
      <c r="AD127" s="3" t="s">
        <v>1892</v>
      </c>
      <c r="AE127" s="3" t="s">
        <v>1893</v>
      </c>
      <c r="AF127" s="3" t="s">
        <v>79</v>
      </c>
      <c r="AG127" s="3" t="s">
        <v>79</v>
      </c>
      <c r="AH127" s="3" t="s">
        <v>79</v>
      </c>
      <c r="AI127" s="3" t="s">
        <v>79</v>
      </c>
      <c r="AJ127" s="3">
        <v>19.0</v>
      </c>
      <c r="AK127" s="3">
        <v>28.0</v>
      </c>
      <c r="AL127" s="3">
        <v>35.0</v>
      </c>
      <c r="AM127" s="3" t="s">
        <v>79</v>
      </c>
      <c r="AN127" s="3" t="s">
        <v>79</v>
      </c>
      <c r="AO127" s="3" t="s">
        <v>79</v>
      </c>
      <c r="AP127" s="3" t="s">
        <v>79</v>
      </c>
      <c r="AQ127" s="3" t="s">
        <v>79</v>
      </c>
      <c r="AR127" s="3" t="s">
        <v>79</v>
      </c>
      <c r="AS127" s="3" t="s">
        <v>79</v>
      </c>
      <c r="AT127" s="3" t="s">
        <v>79</v>
      </c>
      <c r="AU127" s="3" t="s">
        <v>79</v>
      </c>
      <c r="AV127" s="3" t="s">
        <v>79</v>
      </c>
      <c r="AW127" s="3" t="s">
        <v>79</v>
      </c>
      <c r="AX127" s="3">
        <v>2008.0</v>
      </c>
      <c r="AY127" s="3" t="s">
        <v>79</v>
      </c>
      <c r="AZ127" s="3" t="s">
        <v>79</v>
      </c>
      <c r="BA127" s="3" t="s">
        <v>79</v>
      </c>
      <c r="BB127" s="3" t="s">
        <v>79</v>
      </c>
      <c r="BC127" s="3" t="s">
        <v>79</v>
      </c>
      <c r="BD127" s="3" t="s">
        <v>79</v>
      </c>
      <c r="BE127" s="3">
        <v>662.0</v>
      </c>
      <c r="BF127" s="3">
        <v>665.0</v>
      </c>
      <c r="BG127" s="3" t="s">
        <v>79</v>
      </c>
      <c r="BH127" s="3" t="s">
        <v>1894</v>
      </c>
      <c r="BI127" s="8" t="str">
        <f>HYPERLINK("http://dx.doi.org/10.1109/IEMBS.2008.4649239","http://dx.doi.org/10.1109/IEMBS.2008.4649239")</f>
        <v>http://dx.doi.org/10.1109/IEMBS.2008.4649239</v>
      </c>
      <c r="BJ127" s="3" t="s">
        <v>79</v>
      </c>
      <c r="BK127" s="3" t="s">
        <v>79</v>
      </c>
      <c r="BL127" s="3" t="s">
        <v>79</v>
      </c>
      <c r="BM127" s="3" t="s">
        <v>79</v>
      </c>
      <c r="BN127" s="3" t="s">
        <v>79</v>
      </c>
      <c r="BO127" s="3" t="s">
        <v>139</v>
      </c>
      <c r="BP127" s="3" t="s">
        <v>79</v>
      </c>
      <c r="BQ127" s="3" t="s">
        <v>79</v>
      </c>
      <c r="BR127" s="3" t="s">
        <v>79</v>
      </c>
      <c r="BS127" s="3" t="s">
        <v>79</v>
      </c>
      <c r="BT127" s="3" t="s">
        <v>79</v>
      </c>
      <c r="BU127" s="3" t="s">
        <v>95</v>
      </c>
      <c r="BV127" s="3" t="s">
        <v>1895</v>
      </c>
      <c r="BW127" s="3" t="str">
        <f>HYPERLINK("https%3A%2F%2Fwww.webofscience.com%2Fwos%2Fwoscc%2Ffull-record%2FWOS:000262404500166","View Full Record in Web of Science")</f>
        <v>View Full Record in Web of Science</v>
      </c>
    </row>
    <row r="128" ht="12.75" customHeight="1">
      <c r="A128" s="13"/>
      <c r="B128" s="12"/>
      <c r="C128" s="13"/>
      <c r="D128" s="13" t="s">
        <v>185</v>
      </c>
      <c r="E128" s="3" t="s">
        <v>1896</v>
      </c>
      <c r="F128" s="3" t="s">
        <v>79</v>
      </c>
      <c r="G128" s="3" t="s">
        <v>79</v>
      </c>
      <c r="H128" s="3" t="s">
        <v>79</v>
      </c>
      <c r="I128" s="3" t="s">
        <v>1897</v>
      </c>
      <c r="J128" s="3" t="s">
        <v>79</v>
      </c>
      <c r="K128" s="3" t="s">
        <v>79</v>
      </c>
      <c r="L128" s="3" t="s">
        <v>1898</v>
      </c>
      <c r="M128" s="3" t="s">
        <v>1899</v>
      </c>
      <c r="N128" s="3" t="s">
        <v>79</v>
      </c>
      <c r="O128" s="3" t="s">
        <v>79</v>
      </c>
      <c r="P128" s="3" t="s">
        <v>79</v>
      </c>
      <c r="Q128" s="3" t="s">
        <v>190</v>
      </c>
      <c r="R128" s="3" t="s">
        <v>79</v>
      </c>
      <c r="S128" s="3" t="s">
        <v>79</v>
      </c>
      <c r="T128" s="3" t="s">
        <v>79</v>
      </c>
      <c r="U128" s="3" t="s">
        <v>79</v>
      </c>
      <c r="V128" s="3" t="s">
        <v>79</v>
      </c>
      <c r="W128" s="3" t="s">
        <v>1900</v>
      </c>
      <c r="X128" s="3" t="s">
        <v>79</v>
      </c>
      <c r="Y128" s="3" t="s">
        <v>1901</v>
      </c>
      <c r="Z128" s="3" t="s">
        <v>1902</v>
      </c>
      <c r="AA128" s="3" t="s">
        <v>1903</v>
      </c>
      <c r="AB128" s="3" t="s">
        <v>1904</v>
      </c>
      <c r="AC128" s="3" t="s">
        <v>1905</v>
      </c>
      <c r="AD128" s="3" t="s">
        <v>1906</v>
      </c>
      <c r="AE128" s="3" t="s">
        <v>1907</v>
      </c>
      <c r="AF128" s="3" t="s">
        <v>79</v>
      </c>
      <c r="AG128" s="3" t="s">
        <v>79</v>
      </c>
      <c r="AH128" s="3" t="s">
        <v>79</v>
      </c>
      <c r="AI128" s="3" t="s">
        <v>79</v>
      </c>
      <c r="AJ128" s="3">
        <v>29.0</v>
      </c>
      <c r="AK128" s="3">
        <v>1.0</v>
      </c>
      <c r="AL128" s="3">
        <v>1.0</v>
      </c>
      <c r="AM128" s="3" t="s">
        <v>79</v>
      </c>
      <c r="AN128" s="3" t="s">
        <v>79</v>
      </c>
      <c r="AO128" s="3" t="s">
        <v>79</v>
      </c>
      <c r="AP128" s="3" t="s">
        <v>79</v>
      </c>
      <c r="AQ128" s="3" t="s">
        <v>79</v>
      </c>
      <c r="AR128" s="3" t="s">
        <v>79</v>
      </c>
      <c r="AS128" s="3" t="s">
        <v>79</v>
      </c>
      <c r="AT128" s="3" t="s">
        <v>79</v>
      </c>
      <c r="AU128" s="3" t="s">
        <v>79</v>
      </c>
      <c r="AV128" s="3" t="s">
        <v>79</v>
      </c>
      <c r="AW128" s="3" t="s">
        <v>634</v>
      </c>
      <c r="AX128" s="3">
        <v>2024.0</v>
      </c>
      <c r="AY128" s="3">
        <v>34.0</v>
      </c>
      <c r="AZ128" s="3">
        <v>1.0</v>
      </c>
      <c r="BA128" s="3" t="s">
        <v>79</v>
      </c>
      <c r="BB128" s="3" t="s">
        <v>79</v>
      </c>
      <c r="BC128" s="3" t="s">
        <v>79</v>
      </c>
      <c r="BD128" s="3" t="s">
        <v>79</v>
      </c>
      <c r="BE128" s="3" t="s">
        <v>79</v>
      </c>
      <c r="BF128" s="3" t="s">
        <v>79</v>
      </c>
      <c r="BG128" s="3" t="s">
        <v>79</v>
      </c>
      <c r="BH128" s="3" t="s">
        <v>1908</v>
      </c>
      <c r="BI128" s="8" t="str">
        <f>HYPERLINK("http://dx.doi.org/10.1002/ima.22935","http://dx.doi.org/10.1002/ima.22935")</f>
        <v>http://dx.doi.org/10.1002/ima.22935</v>
      </c>
      <c r="BJ128" s="3" t="s">
        <v>79</v>
      </c>
      <c r="BK128" s="3" t="s">
        <v>1909</v>
      </c>
      <c r="BL128" s="3" t="s">
        <v>79</v>
      </c>
      <c r="BM128" s="3" t="s">
        <v>79</v>
      </c>
      <c r="BN128" s="3" t="s">
        <v>79</v>
      </c>
      <c r="BO128" s="3" t="s">
        <v>1910</v>
      </c>
      <c r="BP128" s="3" t="s">
        <v>79</v>
      </c>
      <c r="BQ128" s="3" t="s">
        <v>79</v>
      </c>
      <c r="BR128" s="3" t="s">
        <v>79</v>
      </c>
      <c r="BS128" s="3" t="s">
        <v>79</v>
      </c>
      <c r="BT128" s="3" t="s">
        <v>79</v>
      </c>
      <c r="BU128" s="3" t="s">
        <v>95</v>
      </c>
      <c r="BV128" s="3" t="s">
        <v>1911</v>
      </c>
      <c r="BW128" s="3" t="str">
        <f>HYPERLINK("https%3A%2F%2Fwww.webofscience.com%2Fwos%2Fwoscc%2Ffull-record%2FWOS:001022755500001","View Full Record in Web of Science")</f>
        <v>View Full Record in Web of Science</v>
      </c>
    </row>
    <row r="129" ht="12.75" customHeight="1">
      <c r="A129" s="13"/>
      <c r="B129" s="12"/>
      <c r="C129" s="13"/>
      <c r="D129" s="13" t="s">
        <v>77</v>
      </c>
      <c r="E129" s="3" t="s">
        <v>1912</v>
      </c>
      <c r="F129" s="3" t="s">
        <v>79</v>
      </c>
      <c r="G129" s="3" t="s">
        <v>1913</v>
      </c>
      <c r="H129" s="3" t="s">
        <v>79</v>
      </c>
      <c r="I129" s="3" t="s">
        <v>1914</v>
      </c>
      <c r="J129" s="3" t="s">
        <v>79</v>
      </c>
      <c r="K129" s="3" t="s">
        <v>79</v>
      </c>
      <c r="L129" s="3" t="s">
        <v>1915</v>
      </c>
      <c r="M129" s="3" t="s">
        <v>1916</v>
      </c>
      <c r="N129" s="3" t="s">
        <v>838</v>
      </c>
      <c r="O129" s="3" t="s">
        <v>79</v>
      </c>
      <c r="P129" s="3" t="s">
        <v>79</v>
      </c>
      <c r="Q129" s="3" t="s">
        <v>84</v>
      </c>
      <c r="R129" s="3" t="s">
        <v>79</v>
      </c>
      <c r="S129" s="3" t="s">
        <v>79</v>
      </c>
      <c r="T129" s="3" t="s">
        <v>79</v>
      </c>
      <c r="U129" s="3" t="s">
        <v>79</v>
      </c>
      <c r="V129" s="3" t="s">
        <v>79</v>
      </c>
      <c r="W129" s="3" t="s">
        <v>1917</v>
      </c>
      <c r="X129" s="3" t="s">
        <v>79</v>
      </c>
      <c r="Y129" s="3" t="s">
        <v>1918</v>
      </c>
      <c r="Z129" s="3" t="s">
        <v>1919</v>
      </c>
      <c r="AA129" s="3" t="s">
        <v>1920</v>
      </c>
      <c r="AB129" s="3" t="s">
        <v>1921</v>
      </c>
      <c r="AC129" s="3" t="s">
        <v>1922</v>
      </c>
      <c r="AD129" s="3" t="s">
        <v>1923</v>
      </c>
      <c r="AE129" s="3" t="s">
        <v>79</v>
      </c>
      <c r="AF129" s="3" t="s">
        <v>79</v>
      </c>
      <c r="AG129" s="3" t="s">
        <v>79</v>
      </c>
      <c r="AH129" s="3" t="s">
        <v>79</v>
      </c>
      <c r="AI129" s="3" t="s">
        <v>79</v>
      </c>
      <c r="AJ129" s="3">
        <v>9.0</v>
      </c>
      <c r="AK129" s="3">
        <v>1.0</v>
      </c>
      <c r="AL129" s="3">
        <v>1.0</v>
      </c>
      <c r="AM129" s="3" t="s">
        <v>79</v>
      </c>
      <c r="AN129" s="3" t="s">
        <v>79</v>
      </c>
      <c r="AO129" s="3" t="s">
        <v>79</v>
      </c>
      <c r="AP129" s="3" t="s">
        <v>79</v>
      </c>
      <c r="AQ129" s="3" t="s">
        <v>79</v>
      </c>
      <c r="AR129" s="3" t="s">
        <v>79</v>
      </c>
      <c r="AS129" s="3" t="s">
        <v>79</v>
      </c>
      <c r="AT129" s="3" t="s">
        <v>79</v>
      </c>
      <c r="AU129" s="3" t="s">
        <v>79</v>
      </c>
      <c r="AV129" s="3" t="s">
        <v>79</v>
      </c>
      <c r="AW129" s="3" t="s">
        <v>79</v>
      </c>
      <c r="AX129" s="3">
        <v>2018.0</v>
      </c>
      <c r="AY129" s="3">
        <v>722.0</v>
      </c>
      <c r="AZ129" s="3" t="s">
        <v>79</v>
      </c>
      <c r="BA129" s="3" t="s">
        <v>79</v>
      </c>
      <c r="BB129" s="3" t="s">
        <v>79</v>
      </c>
      <c r="BC129" s="3" t="s">
        <v>79</v>
      </c>
      <c r="BD129" s="3" t="s">
        <v>79</v>
      </c>
      <c r="BE129" s="3">
        <v>281.0</v>
      </c>
      <c r="BF129" s="3">
        <v>286.0</v>
      </c>
      <c r="BG129" s="3" t="s">
        <v>79</v>
      </c>
      <c r="BH129" s="3" t="s">
        <v>1924</v>
      </c>
      <c r="BI129" s="8" t="str">
        <f>HYPERLINK("http://dx.doi.org/10.1007/978-3-319-73888-8_44","http://dx.doi.org/10.1007/978-3-319-73888-8_44")</f>
        <v>http://dx.doi.org/10.1007/978-3-319-73888-8_44</v>
      </c>
      <c r="BJ129" s="3" t="s">
        <v>79</v>
      </c>
      <c r="BK129" s="3" t="s">
        <v>79</v>
      </c>
      <c r="BL129" s="3" t="s">
        <v>79</v>
      </c>
      <c r="BM129" s="3" t="s">
        <v>79</v>
      </c>
      <c r="BN129" s="3" t="s">
        <v>79</v>
      </c>
      <c r="BO129" s="3" t="s">
        <v>275</v>
      </c>
      <c r="BP129" s="3" t="s">
        <v>79</v>
      </c>
      <c r="BQ129" s="3" t="s">
        <v>79</v>
      </c>
      <c r="BR129" s="3" t="s">
        <v>79</v>
      </c>
      <c r="BS129" s="3" t="s">
        <v>79</v>
      </c>
      <c r="BT129" s="3" t="s">
        <v>79</v>
      </c>
      <c r="BU129" s="3" t="s">
        <v>95</v>
      </c>
      <c r="BV129" s="3" t="s">
        <v>1925</v>
      </c>
      <c r="BW129" s="3" t="str">
        <f>HYPERLINK("https%3A%2F%2Fwww.webofscience.com%2Fwos%2Fwoscc%2Ffull-record%2FWOS:000835696800044","View Full Record in Web of Science")</f>
        <v>View Full Record in Web of Science</v>
      </c>
    </row>
    <row r="130" ht="12.75" customHeight="1">
      <c r="A130" s="13"/>
      <c r="B130" s="12"/>
      <c r="C130" s="13"/>
      <c r="D130" s="13" t="s">
        <v>185</v>
      </c>
      <c r="E130" s="3" t="s">
        <v>1926</v>
      </c>
      <c r="F130" s="3" t="s">
        <v>79</v>
      </c>
      <c r="G130" s="3" t="s">
        <v>79</v>
      </c>
      <c r="H130" s="3" t="s">
        <v>79</v>
      </c>
      <c r="I130" s="3" t="s">
        <v>1927</v>
      </c>
      <c r="J130" s="3" t="s">
        <v>79</v>
      </c>
      <c r="K130" s="3" t="s">
        <v>79</v>
      </c>
      <c r="L130" s="3" t="s">
        <v>1928</v>
      </c>
      <c r="M130" s="3" t="s">
        <v>1929</v>
      </c>
      <c r="N130" s="3" t="s">
        <v>79</v>
      </c>
      <c r="O130" s="3" t="s">
        <v>79</v>
      </c>
      <c r="P130" s="3" t="s">
        <v>79</v>
      </c>
      <c r="Q130" s="3" t="s">
        <v>190</v>
      </c>
      <c r="R130" s="3" t="s">
        <v>79</v>
      </c>
      <c r="S130" s="3" t="s">
        <v>79</v>
      </c>
      <c r="T130" s="3" t="s">
        <v>79</v>
      </c>
      <c r="U130" s="3" t="s">
        <v>79</v>
      </c>
      <c r="V130" s="3" t="s">
        <v>79</v>
      </c>
      <c r="W130" s="3" t="s">
        <v>1930</v>
      </c>
      <c r="X130" s="3" t="s">
        <v>1931</v>
      </c>
      <c r="Y130" s="3" t="s">
        <v>1932</v>
      </c>
      <c r="Z130" s="3" t="s">
        <v>1933</v>
      </c>
      <c r="AA130" s="3" t="s">
        <v>1889</v>
      </c>
      <c r="AB130" s="3" t="s">
        <v>1934</v>
      </c>
      <c r="AC130" s="3" t="s">
        <v>1935</v>
      </c>
      <c r="AD130" s="3" t="s">
        <v>1936</v>
      </c>
      <c r="AE130" s="3" t="s">
        <v>1893</v>
      </c>
      <c r="AF130" s="3" t="s">
        <v>79</v>
      </c>
      <c r="AG130" s="3" t="s">
        <v>79</v>
      </c>
      <c r="AH130" s="3" t="s">
        <v>79</v>
      </c>
      <c r="AI130" s="3" t="s">
        <v>79</v>
      </c>
      <c r="AJ130" s="3">
        <v>34.0</v>
      </c>
      <c r="AK130" s="3">
        <v>34.0</v>
      </c>
      <c r="AL130" s="3">
        <v>47.0</v>
      </c>
      <c r="AM130" s="3" t="s">
        <v>79</v>
      </c>
      <c r="AN130" s="3" t="s">
        <v>79</v>
      </c>
      <c r="AO130" s="3" t="s">
        <v>79</v>
      </c>
      <c r="AP130" s="3" t="s">
        <v>79</v>
      </c>
      <c r="AQ130" s="3" t="s">
        <v>79</v>
      </c>
      <c r="AR130" s="3" t="s">
        <v>79</v>
      </c>
      <c r="AS130" s="3" t="s">
        <v>79</v>
      </c>
      <c r="AT130" s="3" t="s">
        <v>79</v>
      </c>
      <c r="AU130" s="3" t="s">
        <v>79</v>
      </c>
      <c r="AV130" s="3" t="s">
        <v>79</v>
      </c>
      <c r="AW130" s="3" t="s">
        <v>1937</v>
      </c>
      <c r="AX130" s="3">
        <v>2006.0</v>
      </c>
      <c r="AY130" s="3">
        <v>44.0</v>
      </c>
      <c r="AZ130" s="3">
        <v>11.0</v>
      </c>
      <c r="BA130" s="3" t="s">
        <v>79</v>
      </c>
      <c r="BB130" s="3" t="s">
        <v>79</v>
      </c>
      <c r="BC130" s="3" t="s">
        <v>79</v>
      </c>
      <c r="BD130" s="3" t="s">
        <v>79</v>
      </c>
      <c r="BE130" s="3">
        <v>959.0</v>
      </c>
      <c r="BF130" s="3">
        <v>969.0</v>
      </c>
      <c r="BG130" s="3" t="s">
        <v>79</v>
      </c>
      <c r="BH130" s="3" t="s">
        <v>1938</v>
      </c>
      <c r="BI130" s="8" t="str">
        <f>HYPERLINK("http://dx.doi.org/10.1007/s11517-006-0111-8","http://dx.doi.org/10.1007/s11517-006-0111-8")</f>
        <v>http://dx.doi.org/10.1007/s11517-006-0111-8</v>
      </c>
      <c r="BJ130" s="3" t="s">
        <v>79</v>
      </c>
      <c r="BK130" s="3" t="s">
        <v>79</v>
      </c>
      <c r="BL130" s="3" t="s">
        <v>79</v>
      </c>
      <c r="BM130" s="3" t="s">
        <v>79</v>
      </c>
      <c r="BN130" s="3" t="s">
        <v>79</v>
      </c>
      <c r="BO130" s="3" t="s">
        <v>1939</v>
      </c>
      <c r="BP130" s="3" t="s">
        <v>79</v>
      </c>
      <c r="BQ130" s="3" t="s">
        <v>79</v>
      </c>
      <c r="BR130" s="3" t="s">
        <v>79</v>
      </c>
      <c r="BS130" s="3" t="s">
        <v>79</v>
      </c>
      <c r="BT130" s="3" t="s">
        <v>79</v>
      </c>
      <c r="BU130" s="3" t="s">
        <v>95</v>
      </c>
      <c r="BV130" s="3" t="s">
        <v>1940</v>
      </c>
      <c r="BW130" s="3" t="str">
        <f>HYPERLINK("https%3A%2F%2Fwww.webofscience.com%2Fwos%2Fwoscc%2Ffull-record%2FWOS:000245081800003","View Full Record in Web of Science")</f>
        <v>View Full Record in Web of Science</v>
      </c>
    </row>
    <row r="131" ht="12.75" customHeight="1">
      <c r="A131" s="13"/>
      <c r="B131" s="12"/>
      <c r="C131" s="13"/>
      <c r="D131" s="13" t="s">
        <v>77</v>
      </c>
      <c r="E131" s="3" t="s">
        <v>1419</v>
      </c>
      <c r="F131" s="3" t="s">
        <v>79</v>
      </c>
      <c r="G131" s="3" t="s">
        <v>79</v>
      </c>
      <c r="H131" s="3" t="s">
        <v>80</v>
      </c>
      <c r="I131" s="3" t="s">
        <v>1420</v>
      </c>
      <c r="J131" s="3" t="s">
        <v>79</v>
      </c>
      <c r="K131" s="3" t="s">
        <v>79</v>
      </c>
      <c r="L131" s="3" t="s">
        <v>1941</v>
      </c>
      <c r="M131" s="3" t="s">
        <v>1942</v>
      </c>
      <c r="N131" s="3" t="s">
        <v>254</v>
      </c>
      <c r="O131" s="3" t="s">
        <v>79</v>
      </c>
      <c r="P131" s="3" t="s">
        <v>79</v>
      </c>
      <c r="Q131" s="3" t="s">
        <v>84</v>
      </c>
      <c r="R131" s="3" t="s">
        <v>79</v>
      </c>
      <c r="S131" s="3" t="s">
        <v>79</v>
      </c>
      <c r="T131" s="3" t="s">
        <v>79</v>
      </c>
      <c r="U131" s="3" t="s">
        <v>79</v>
      </c>
      <c r="V131" s="3" t="s">
        <v>79</v>
      </c>
      <c r="W131" s="3" t="s">
        <v>79</v>
      </c>
      <c r="X131" s="3" t="s">
        <v>1943</v>
      </c>
      <c r="Y131" s="3" t="s">
        <v>1944</v>
      </c>
      <c r="Z131" s="3" t="s">
        <v>1945</v>
      </c>
      <c r="AA131" s="3" t="s">
        <v>1946</v>
      </c>
      <c r="AB131" s="3" t="s">
        <v>1947</v>
      </c>
      <c r="AC131" s="3" t="s">
        <v>1948</v>
      </c>
      <c r="AD131" s="3" t="s">
        <v>1427</v>
      </c>
      <c r="AE131" s="3" t="s">
        <v>1949</v>
      </c>
      <c r="AF131" s="3" t="s">
        <v>79</v>
      </c>
      <c r="AG131" s="3" t="s">
        <v>79</v>
      </c>
      <c r="AH131" s="3" t="s">
        <v>79</v>
      </c>
      <c r="AI131" s="3" t="s">
        <v>79</v>
      </c>
      <c r="AJ131" s="3">
        <v>15.0</v>
      </c>
      <c r="AK131" s="3">
        <v>11.0</v>
      </c>
      <c r="AL131" s="3">
        <v>11.0</v>
      </c>
      <c r="AM131" s="3" t="s">
        <v>79</v>
      </c>
      <c r="AN131" s="3" t="s">
        <v>79</v>
      </c>
      <c r="AO131" s="3" t="s">
        <v>79</v>
      </c>
      <c r="AP131" s="3" t="s">
        <v>79</v>
      </c>
      <c r="AQ131" s="3" t="s">
        <v>79</v>
      </c>
      <c r="AR131" s="3" t="s">
        <v>79</v>
      </c>
      <c r="AS131" s="3" t="s">
        <v>79</v>
      </c>
      <c r="AT131" s="3" t="s">
        <v>79</v>
      </c>
      <c r="AU131" s="3" t="s">
        <v>79</v>
      </c>
      <c r="AV131" s="3" t="s">
        <v>79</v>
      </c>
      <c r="AW131" s="3" t="s">
        <v>79</v>
      </c>
      <c r="AX131" s="3">
        <v>2009.0</v>
      </c>
      <c r="AY131" s="3" t="s">
        <v>79</v>
      </c>
      <c r="AZ131" s="3" t="s">
        <v>79</v>
      </c>
      <c r="BA131" s="3" t="s">
        <v>79</v>
      </c>
      <c r="BB131" s="3" t="s">
        <v>79</v>
      </c>
      <c r="BC131" s="3" t="s">
        <v>79</v>
      </c>
      <c r="BD131" s="3" t="s">
        <v>79</v>
      </c>
      <c r="BE131" s="3">
        <v>4547.0</v>
      </c>
      <c r="BF131" s="3" t="s">
        <v>1105</v>
      </c>
      <c r="BG131" s="3" t="s">
        <v>79</v>
      </c>
      <c r="BH131" s="3" t="s">
        <v>1950</v>
      </c>
      <c r="BI131" s="8" t="str">
        <f>HYPERLINK("http://dx.doi.org/10.1109/IEMBS.2009.5332722","http://dx.doi.org/10.1109/IEMBS.2009.5332722")</f>
        <v>http://dx.doi.org/10.1109/IEMBS.2009.5332722</v>
      </c>
      <c r="BJ131" s="3" t="s">
        <v>79</v>
      </c>
      <c r="BK131" s="3" t="s">
        <v>79</v>
      </c>
      <c r="BL131" s="3" t="s">
        <v>79</v>
      </c>
      <c r="BM131" s="3" t="s">
        <v>79</v>
      </c>
      <c r="BN131" s="3" t="s">
        <v>79</v>
      </c>
      <c r="BO131" s="3" t="s">
        <v>139</v>
      </c>
      <c r="BP131" s="3" t="s">
        <v>79</v>
      </c>
      <c r="BQ131" s="3" t="s">
        <v>79</v>
      </c>
      <c r="BR131" s="3" t="s">
        <v>79</v>
      </c>
      <c r="BS131" s="3" t="s">
        <v>79</v>
      </c>
      <c r="BT131" s="3" t="s">
        <v>79</v>
      </c>
      <c r="BU131" s="3" t="s">
        <v>95</v>
      </c>
      <c r="BV131" s="3" t="s">
        <v>1951</v>
      </c>
      <c r="BW131" s="3" t="str">
        <f>HYPERLINK("https%3A%2F%2Fwww.webofscience.com%2Fwos%2Fwoscc%2Ffull-record%2FWOS:000280543603231","View Full Record in Web of Science")</f>
        <v>View Full Record in Web of Science</v>
      </c>
    </row>
    <row r="132" ht="12.75" customHeight="1">
      <c r="A132" s="13"/>
      <c r="B132" s="12"/>
      <c r="C132" s="13"/>
      <c r="D132" s="13" t="s">
        <v>185</v>
      </c>
      <c r="E132" s="3" t="s">
        <v>1952</v>
      </c>
      <c r="F132" s="3" t="s">
        <v>79</v>
      </c>
      <c r="G132" s="3" t="s">
        <v>79</v>
      </c>
      <c r="H132" s="3" t="s">
        <v>79</v>
      </c>
      <c r="I132" s="3" t="s">
        <v>1953</v>
      </c>
      <c r="J132" s="3" t="s">
        <v>79</v>
      </c>
      <c r="K132" s="3" t="s">
        <v>79</v>
      </c>
      <c r="L132" s="3" t="s">
        <v>1954</v>
      </c>
      <c r="M132" s="3" t="s">
        <v>822</v>
      </c>
      <c r="N132" s="3" t="s">
        <v>79</v>
      </c>
      <c r="O132" s="3" t="s">
        <v>79</v>
      </c>
      <c r="P132" s="3" t="s">
        <v>79</v>
      </c>
      <c r="Q132" s="3" t="s">
        <v>190</v>
      </c>
      <c r="R132" s="3" t="s">
        <v>79</v>
      </c>
      <c r="S132" s="3" t="s">
        <v>79</v>
      </c>
      <c r="T132" s="3" t="s">
        <v>79</v>
      </c>
      <c r="U132" s="3" t="s">
        <v>79</v>
      </c>
      <c r="V132" s="3" t="s">
        <v>79</v>
      </c>
      <c r="W132" s="3" t="s">
        <v>1955</v>
      </c>
      <c r="X132" s="3" t="s">
        <v>1956</v>
      </c>
      <c r="Y132" s="3" t="s">
        <v>1957</v>
      </c>
      <c r="Z132" s="3" t="s">
        <v>1958</v>
      </c>
      <c r="AA132" s="3" t="s">
        <v>1959</v>
      </c>
      <c r="AB132" s="3" t="s">
        <v>1960</v>
      </c>
      <c r="AC132" s="3" t="s">
        <v>1961</v>
      </c>
      <c r="AD132" s="3" t="s">
        <v>1962</v>
      </c>
      <c r="AE132" s="3" t="s">
        <v>1963</v>
      </c>
      <c r="AF132" s="3" t="s">
        <v>79</v>
      </c>
      <c r="AG132" s="3" t="s">
        <v>79</v>
      </c>
      <c r="AH132" s="3" t="s">
        <v>79</v>
      </c>
      <c r="AI132" s="3" t="s">
        <v>79</v>
      </c>
      <c r="AJ132" s="3">
        <v>49.0</v>
      </c>
      <c r="AK132" s="3">
        <v>19.0</v>
      </c>
      <c r="AL132" s="3">
        <v>20.0</v>
      </c>
      <c r="AM132" s="3" t="s">
        <v>79</v>
      </c>
      <c r="AN132" s="3" t="s">
        <v>79</v>
      </c>
      <c r="AO132" s="3" t="s">
        <v>79</v>
      </c>
      <c r="AP132" s="3" t="s">
        <v>79</v>
      </c>
      <c r="AQ132" s="3" t="s">
        <v>79</v>
      </c>
      <c r="AR132" s="3" t="s">
        <v>79</v>
      </c>
      <c r="AS132" s="3" t="s">
        <v>79</v>
      </c>
      <c r="AT132" s="3" t="s">
        <v>79</v>
      </c>
      <c r="AU132" s="3" t="s">
        <v>79</v>
      </c>
      <c r="AV132" s="3" t="s">
        <v>79</v>
      </c>
      <c r="AW132" s="3" t="s">
        <v>1964</v>
      </c>
      <c r="AX132" s="3">
        <v>2022.0</v>
      </c>
      <c r="AY132" s="3">
        <v>19.0</v>
      </c>
      <c r="AZ132" s="3">
        <v>1.0</v>
      </c>
      <c r="BA132" s="3" t="s">
        <v>79</v>
      </c>
      <c r="BB132" s="3" t="s">
        <v>79</v>
      </c>
      <c r="BC132" s="3" t="s">
        <v>79</v>
      </c>
      <c r="BD132" s="3" t="s">
        <v>79</v>
      </c>
      <c r="BE132" s="3" t="s">
        <v>79</v>
      </c>
      <c r="BF132" s="3" t="s">
        <v>79</v>
      </c>
      <c r="BG132" s="3">
        <v>16001.0</v>
      </c>
      <c r="BH132" s="3" t="s">
        <v>1965</v>
      </c>
      <c r="BI132" s="8" t="str">
        <f>HYPERLINK("http://dx.doi.org/10.1088/1741-2552/ac49a6","http://dx.doi.org/10.1088/1741-2552/ac49a6")</f>
        <v>http://dx.doi.org/10.1088/1741-2552/ac49a6</v>
      </c>
      <c r="BJ132" s="3" t="s">
        <v>79</v>
      </c>
      <c r="BK132" s="3" t="s">
        <v>79</v>
      </c>
      <c r="BL132" s="3" t="s">
        <v>79</v>
      </c>
      <c r="BM132" s="3" t="s">
        <v>79</v>
      </c>
      <c r="BN132" s="3" t="s">
        <v>79</v>
      </c>
      <c r="BO132" s="3" t="s">
        <v>559</v>
      </c>
      <c r="BP132" s="3" t="s">
        <v>79</v>
      </c>
      <c r="BQ132" s="3" t="s">
        <v>79</v>
      </c>
      <c r="BR132" s="3" t="s">
        <v>79</v>
      </c>
      <c r="BS132" s="3" t="s">
        <v>79</v>
      </c>
      <c r="BT132" s="3" t="s">
        <v>79</v>
      </c>
      <c r="BU132" s="3" t="s">
        <v>95</v>
      </c>
      <c r="BV132" s="3" t="s">
        <v>1966</v>
      </c>
      <c r="BW132" s="3" t="str">
        <f>HYPERLINK("https%3A%2F%2Fwww.webofscience.com%2Fwos%2Fwoscc%2Ffull-record%2FWOS:000746176700001","View Full Record in Web of Science")</f>
        <v>View Full Record in Web of Science</v>
      </c>
    </row>
    <row r="133" ht="12.75" customHeight="1">
      <c r="A133" s="13"/>
      <c r="B133" s="12"/>
      <c r="C133" s="13"/>
      <c r="D133" s="13" t="s">
        <v>77</v>
      </c>
      <c r="E133" s="3" t="s">
        <v>1967</v>
      </c>
      <c r="F133" s="3" t="s">
        <v>79</v>
      </c>
      <c r="G133" s="3" t="s">
        <v>1968</v>
      </c>
      <c r="H133" s="3" t="s">
        <v>79</v>
      </c>
      <c r="I133" s="3" t="s">
        <v>1969</v>
      </c>
      <c r="J133" s="3" t="s">
        <v>79</v>
      </c>
      <c r="K133" s="3" t="s">
        <v>79</v>
      </c>
      <c r="L133" s="3" t="s">
        <v>1970</v>
      </c>
      <c r="M133" s="3" t="s">
        <v>1971</v>
      </c>
      <c r="N133" s="3" t="s">
        <v>1278</v>
      </c>
      <c r="O133" s="3" t="s">
        <v>79</v>
      </c>
      <c r="P133" s="3" t="s">
        <v>79</v>
      </c>
      <c r="Q133" s="3" t="s">
        <v>84</v>
      </c>
      <c r="R133" s="3" t="s">
        <v>79</v>
      </c>
      <c r="S133" s="3" t="s">
        <v>79</v>
      </c>
      <c r="T133" s="3" t="s">
        <v>79</v>
      </c>
      <c r="U133" s="3" t="s">
        <v>79</v>
      </c>
      <c r="V133" s="3" t="s">
        <v>79</v>
      </c>
      <c r="W133" s="3" t="s">
        <v>1972</v>
      </c>
      <c r="X133" s="3" t="s">
        <v>1973</v>
      </c>
      <c r="Y133" s="3" t="s">
        <v>1974</v>
      </c>
      <c r="Z133" s="3" t="s">
        <v>1975</v>
      </c>
      <c r="AA133" s="3" t="s">
        <v>1976</v>
      </c>
      <c r="AB133" s="3" t="s">
        <v>1977</v>
      </c>
      <c r="AC133" s="3" t="s">
        <v>1978</v>
      </c>
      <c r="AD133" s="3" t="s">
        <v>1979</v>
      </c>
      <c r="AE133" s="3" t="s">
        <v>1980</v>
      </c>
      <c r="AF133" s="3" t="s">
        <v>79</v>
      </c>
      <c r="AG133" s="3" t="s">
        <v>79</v>
      </c>
      <c r="AH133" s="3" t="s">
        <v>79</v>
      </c>
      <c r="AI133" s="3" t="s">
        <v>79</v>
      </c>
      <c r="AJ133" s="3">
        <v>30.0</v>
      </c>
      <c r="AK133" s="3">
        <v>1.0</v>
      </c>
      <c r="AL133" s="3">
        <v>1.0</v>
      </c>
      <c r="AM133" s="3" t="s">
        <v>79</v>
      </c>
      <c r="AN133" s="3" t="s">
        <v>79</v>
      </c>
      <c r="AO133" s="3" t="s">
        <v>79</v>
      </c>
      <c r="AP133" s="3" t="s">
        <v>79</v>
      </c>
      <c r="AQ133" s="3" t="s">
        <v>79</v>
      </c>
      <c r="AR133" s="3" t="s">
        <v>79</v>
      </c>
      <c r="AS133" s="3" t="s">
        <v>79</v>
      </c>
      <c r="AT133" s="3" t="s">
        <v>79</v>
      </c>
      <c r="AU133" s="3" t="s">
        <v>79</v>
      </c>
      <c r="AV133" s="3" t="s">
        <v>79</v>
      </c>
      <c r="AW133" s="3" t="s">
        <v>79</v>
      </c>
      <c r="AX133" s="3">
        <v>2024.0</v>
      </c>
      <c r="AY133" s="3">
        <v>15028.0</v>
      </c>
      <c r="AZ133" s="3" t="s">
        <v>79</v>
      </c>
      <c r="BA133" s="3" t="s">
        <v>79</v>
      </c>
      <c r="BB133" s="3" t="s">
        <v>79</v>
      </c>
      <c r="BC133" s="3" t="s">
        <v>79</v>
      </c>
      <c r="BD133" s="3" t="s">
        <v>79</v>
      </c>
      <c r="BE133" s="3">
        <v>208.0</v>
      </c>
      <c r="BF133" s="3">
        <v>225.0</v>
      </c>
      <c r="BG133" s="3" t="s">
        <v>79</v>
      </c>
      <c r="BH133" s="3" t="s">
        <v>1981</v>
      </c>
      <c r="BI133" s="8" t="str">
        <f>HYPERLINK("http://dx.doi.org/10.1007/978-3-031-71704-8_16","http://dx.doi.org/10.1007/978-3-031-71704-8_16")</f>
        <v>http://dx.doi.org/10.1007/978-3-031-71704-8_16</v>
      </c>
      <c r="BJ133" s="3" t="s">
        <v>79</v>
      </c>
      <c r="BK133" s="3" t="s">
        <v>79</v>
      </c>
      <c r="BL133" s="3" t="s">
        <v>79</v>
      </c>
      <c r="BM133" s="3" t="s">
        <v>79</v>
      </c>
      <c r="BN133" s="3" t="s">
        <v>79</v>
      </c>
      <c r="BO133" s="3" t="s">
        <v>275</v>
      </c>
      <c r="BP133" s="3" t="s">
        <v>79</v>
      </c>
      <c r="BQ133" s="3" t="s">
        <v>79</v>
      </c>
      <c r="BR133" s="3" t="s">
        <v>79</v>
      </c>
      <c r="BS133" s="3" t="s">
        <v>79</v>
      </c>
      <c r="BT133" s="3" t="s">
        <v>79</v>
      </c>
      <c r="BU133" s="3" t="s">
        <v>95</v>
      </c>
      <c r="BV133" s="3" t="s">
        <v>1982</v>
      </c>
      <c r="BW133" s="3" t="str">
        <f>HYPERLINK("https%3A%2F%2Fwww.webofscience.com%2Fwos%2Fwoscc%2Ffull-record%2FWOS:001336525100016","View Full Record in Web of Science")</f>
        <v>View Full Record in Web of Science</v>
      </c>
    </row>
    <row r="134" ht="12.75" customHeight="1">
      <c r="A134" s="13"/>
      <c r="B134" s="12"/>
      <c r="C134" s="13"/>
      <c r="D134" s="13" t="s">
        <v>185</v>
      </c>
      <c r="E134" s="3" t="s">
        <v>1983</v>
      </c>
      <c r="F134" s="3" t="s">
        <v>79</v>
      </c>
      <c r="G134" s="3" t="s">
        <v>79</v>
      </c>
      <c r="H134" s="3" t="s">
        <v>79</v>
      </c>
      <c r="I134" s="3" t="s">
        <v>1984</v>
      </c>
      <c r="J134" s="3" t="s">
        <v>79</v>
      </c>
      <c r="K134" s="3" t="s">
        <v>79</v>
      </c>
      <c r="L134" s="3" t="s">
        <v>1985</v>
      </c>
      <c r="M134" s="3" t="s">
        <v>1986</v>
      </c>
      <c r="N134" s="3" t="s">
        <v>79</v>
      </c>
      <c r="O134" s="3" t="s">
        <v>79</v>
      </c>
      <c r="P134" s="3" t="s">
        <v>79</v>
      </c>
      <c r="Q134" s="3" t="s">
        <v>190</v>
      </c>
      <c r="R134" s="3" t="s">
        <v>79</v>
      </c>
      <c r="S134" s="3" t="s">
        <v>79</v>
      </c>
      <c r="T134" s="3" t="s">
        <v>79</v>
      </c>
      <c r="U134" s="3" t="s">
        <v>79</v>
      </c>
      <c r="V134" s="3" t="s">
        <v>79</v>
      </c>
      <c r="W134" s="3" t="s">
        <v>1987</v>
      </c>
      <c r="X134" s="3" t="s">
        <v>583</v>
      </c>
      <c r="Y134" s="3" t="s">
        <v>1988</v>
      </c>
      <c r="Z134" s="3" t="s">
        <v>1989</v>
      </c>
      <c r="AA134" s="3" t="s">
        <v>1990</v>
      </c>
      <c r="AB134" s="3" t="s">
        <v>1991</v>
      </c>
      <c r="AC134" s="3" t="s">
        <v>1992</v>
      </c>
      <c r="AD134" s="3" t="s">
        <v>79</v>
      </c>
      <c r="AE134" s="3" t="s">
        <v>79</v>
      </c>
      <c r="AF134" s="3" t="s">
        <v>79</v>
      </c>
      <c r="AG134" s="3" t="s">
        <v>79</v>
      </c>
      <c r="AH134" s="3" t="s">
        <v>79</v>
      </c>
      <c r="AI134" s="3" t="s">
        <v>79</v>
      </c>
      <c r="AJ134" s="3">
        <v>17.0</v>
      </c>
      <c r="AK134" s="3">
        <v>20.0</v>
      </c>
      <c r="AL134" s="3">
        <v>21.0</v>
      </c>
      <c r="AM134" s="3" t="s">
        <v>79</v>
      </c>
      <c r="AN134" s="3" t="s">
        <v>79</v>
      </c>
      <c r="AO134" s="3" t="s">
        <v>79</v>
      </c>
      <c r="AP134" s="3" t="s">
        <v>79</v>
      </c>
      <c r="AQ134" s="3" t="s">
        <v>79</v>
      </c>
      <c r="AR134" s="3" t="s">
        <v>79</v>
      </c>
      <c r="AS134" s="3" t="s">
        <v>79</v>
      </c>
      <c r="AT134" s="3" t="s">
        <v>79</v>
      </c>
      <c r="AU134" s="3" t="s">
        <v>79</v>
      </c>
      <c r="AV134" s="3" t="s">
        <v>79</v>
      </c>
      <c r="AW134" s="3" t="s">
        <v>1993</v>
      </c>
      <c r="AX134" s="3">
        <v>2020.0</v>
      </c>
      <c r="AY134" s="3">
        <v>20.0</v>
      </c>
      <c r="AZ134" s="3">
        <v>20.0</v>
      </c>
      <c r="BA134" s="3" t="s">
        <v>79</v>
      </c>
      <c r="BB134" s="3" t="s">
        <v>79</v>
      </c>
      <c r="BC134" s="3" t="s">
        <v>79</v>
      </c>
      <c r="BD134" s="3" t="s">
        <v>79</v>
      </c>
      <c r="BE134" s="3">
        <v>11787.0</v>
      </c>
      <c r="BF134" s="3">
        <v>11794.0</v>
      </c>
      <c r="BG134" s="3" t="s">
        <v>79</v>
      </c>
      <c r="BH134" s="3" t="s">
        <v>1994</v>
      </c>
      <c r="BI134" s="8" t="str">
        <f>HYPERLINK("http://dx.doi.org/10.1109/JSEN.2019.2939343","http://dx.doi.org/10.1109/JSEN.2019.2939343")</f>
        <v>http://dx.doi.org/10.1109/JSEN.2019.2939343</v>
      </c>
      <c r="BJ134" s="3" t="s">
        <v>79</v>
      </c>
      <c r="BK134" s="3" t="s">
        <v>79</v>
      </c>
      <c r="BL134" s="3" t="s">
        <v>79</v>
      </c>
      <c r="BM134" s="3" t="s">
        <v>79</v>
      </c>
      <c r="BN134" s="3" t="s">
        <v>79</v>
      </c>
      <c r="BO134" s="3" t="s">
        <v>1995</v>
      </c>
      <c r="BP134" s="3" t="s">
        <v>79</v>
      </c>
      <c r="BQ134" s="3" t="s">
        <v>79</v>
      </c>
      <c r="BR134" s="3" t="s">
        <v>79</v>
      </c>
      <c r="BS134" s="3" t="s">
        <v>79</v>
      </c>
      <c r="BT134" s="3" t="s">
        <v>79</v>
      </c>
      <c r="BU134" s="3" t="s">
        <v>95</v>
      </c>
      <c r="BV134" s="3" t="s">
        <v>1996</v>
      </c>
      <c r="BW134" s="3" t="str">
        <f>HYPERLINK("https%3A%2F%2Fwww.webofscience.com%2Fwos%2Fwoscc%2Ffull-record%2FWOS:000571774500007","View Full Record in Web of Science")</f>
        <v>View Full Record in Web of Science</v>
      </c>
    </row>
    <row r="135" ht="12.75" customHeight="1">
      <c r="A135" s="13"/>
      <c r="B135" s="12"/>
      <c r="C135" s="13"/>
      <c r="D135" s="13" t="s">
        <v>185</v>
      </c>
      <c r="E135" s="3" t="s">
        <v>1997</v>
      </c>
      <c r="F135" s="3" t="s">
        <v>79</v>
      </c>
      <c r="G135" s="3" t="s">
        <v>79</v>
      </c>
      <c r="H135" s="3" t="s">
        <v>79</v>
      </c>
      <c r="I135" s="3" t="s">
        <v>1998</v>
      </c>
      <c r="J135" s="3" t="s">
        <v>79</v>
      </c>
      <c r="K135" s="3" t="s">
        <v>79</v>
      </c>
      <c r="L135" s="3" t="s">
        <v>1999</v>
      </c>
      <c r="M135" s="3" t="s">
        <v>898</v>
      </c>
      <c r="N135" s="3" t="s">
        <v>79</v>
      </c>
      <c r="O135" s="3" t="s">
        <v>79</v>
      </c>
      <c r="P135" s="3" t="s">
        <v>79</v>
      </c>
      <c r="Q135" s="3" t="s">
        <v>1202</v>
      </c>
      <c r="R135" s="3" t="s">
        <v>79</v>
      </c>
      <c r="S135" s="3" t="s">
        <v>79</v>
      </c>
      <c r="T135" s="3" t="s">
        <v>79</v>
      </c>
      <c r="U135" s="3" t="s">
        <v>79</v>
      </c>
      <c r="V135" s="3" t="s">
        <v>79</v>
      </c>
      <c r="W135" s="3" t="s">
        <v>2000</v>
      </c>
      <c r="X135" s="3" t="s">
        <v>2001</v>
      </c>
      <c r="Y135" s="3" t="s">
        <v>2002</v>
      </c>
      <c r="Z135" s="3" t="s">
        <v>2003</v>
      </c>
      <c r="AA135" s="3" t="s">
        <v>2004</v>
      </c>
      <c r="AB135" s="3" t="s">
        <v>2005</v>
      </c>
      <c r="AC135" s="3" t="s">
        <v>2006</v>
      </c>
      <c r="AD135" s="3" t="s">
        <v>2007</v>
      </c>
      <c r="AE135" s="3" t="s">
        <v>2008</v>
      </c>
      <c r="AF135" s="3" t="s">
        <v>79</v>
      </c>
      <c r="AG135" s="3" t="s">
        <v>79</v>
      </c>
      <c r="AH135" s="3" t="s">
        <v>79</v>
      </c>
      <c r="AI135" s="3" t="s">
        <v>79</v>
      </c>
      <c r="AJ135" s="3">
        <v>89.0</v>
      </c>
      <c r="AK135" s="3">
        <v>11.0</v>
      </c>
      <c r="AL135" s="3">
        <v>13.0</v>
      </c>
      <c r="AM135" s="3" t="s">
        <v>79</v>
      </c>
      <c r="AN135" s="3" t="s">
        <v>79</v>
      </c>
      <c r="AO135" s="3" t="s">
        <v>79</v>
      </c>
      <c r="AP135" s="3" t="s">
        <v>79</v>
      </c>
      <c r="AQ135" s="3" t="s">
        <v>79</v>
      </c>
      <c r="AR135" s="3" t="s">
        <v>79</v>
      </c>
      <c r="AS135" s="3" t="s">
        <v>79</v>
      </c>
      <c r="AT135" s="3" t="s">
        <v>79</v>
      </c>
      <c r="AU135" s="3" t="s">
        <v>79</v>
      </c>
      <c r="AV135" s="3" t="s">
        <v>79</v>
      </c>
      <c r="AW135" s="3" t="s">
        <v>575</v>
      </c>
      <c r="AX135" s="3">
        <v>2024.0</v>
      </c>
      <c r="AY135" s="3">
        <v>14.0</v>
      </c>
      <c r="AZ135" s="3">
        <v>14.0</v>
      </c>
      <c r="BA135" s="3" t="s">
        <v>79</v>
      </c>
      <c r="BB135" s="3" t="s">
        <v>79</v>
      </c>
      <c r="BC135" s="3" t="s">
        <v>79</v>
      </c>
      <c r="BD135" s="3" t="s">
        <v>79</v>
      </c>
      <c r="BE135" s="3" t="s">
        <v>79</v>
      </c>
      <c r="BF135" s="3" t="s">
        <v>79</v>
      </c>
      <c r="BG135" s="3">
        <v>6347.0</v>
      </c>
      <c r="BH135" s="3" t="s">
        <v>2009</v>
      </c>
      <c r="BI135" s="8" t="str">
        <f>HYPERLINK("http://dx.doi.org/10.3390/app14146347","http://dx.doi.org/10.3390/app14146347")</f>
        <v>http://dx.doi.org/10.3390/app14146347</v>
      </c>
      <c r="BJ135" s="3" t="s">
        <v>79</v>
      </c>
      <c r="BK135" s="3" t="s">
        <v>79</v>
      </c>
      <c r="BL135" s="3" t="s">
        <v>79</v>
      </c>
      <c r="BM135" s="3" t="s">
        <v>79</v>
      </c>
      <c r="BN135" s="3" t="s">
        <v>79</v>
      </c>
      <c r="BO135" s="3" t="s">
        <v>909</v>
      </c>
      <c r="BP135" s="3" t="s">
        <v>79</v>
      </c>
      <c r="BQ135" s="3" t="s">
        <v>79</v>
      </c>
      <c r="BR135" s="3" t="s">
        <v>79</v>
      </c>
      <c r="BS135" s="3" t="s">
        <v>79</v>
      </c>
      <c r="BT135" s="3" t="s">
        <v>79</v>
      </c>
      <c r="BU135" s="3" t="s">
        <v>95</v>
      </c>
      <c r="BV135" s="3" t="s">
        <v>2010</v>
      </c>
      <c r="BW135" s="3" t="str">
        <f>HYPERLINK("https%3A%2F%2Fwww.webofscience.com%2Fwos%2Fwoscc%2Ffull-record%2FWOS:001276764100001","View Full Record in Web of Science")</f>
        <v>View Full Record in Web of Science</v>
      </c>
    </row>
    <row r="136" ht="12.75" customHeight="1">
      <c r="A136" s="13"/>
      <c r="B136" s="12"/>
      <c r="C136" s="13"/>
      <c r="D136" s="13" t="s">
        <v>77</v>
      </c>
      <c r="E136" s="3" t="s">
        <v>2011</v>
      </c>
      <c r="F136" s="3" t="s">
        <v>79</v>
      </c>
      <c r="G136" s="3" t="s">
        <v>79</v>
      </c>
      <c r="H136" s="3" t="s">
        <v>362</v>
      </c>
      <c r="I136" s="3" t="s">
        <v>2012</v>
      </c>
      <c r="J136" s="3" t="s">
        <v>79</v>
      </c>
      <c r="K136" s="3" t="s">
        <v>79</v>
      </c>
      <c r="L136" s="3" t="s">
        <v>2013</v>
      </c>
      <c r="M136" s="3" t="s">
        <v>2014</v>
      </c>
      <c r="N136" s="3" t="s">
        <v>79</v>
      </c>
      <c r="O136" s="3" t="s">
        <v>79</v>
      </c>
      <c r="P136" s="3" t="s">
        <v>79</v>
      </c>
      <c r="Q136" s="3" t="s">
        <v>84</v>
      </c>
      <c r="R136" s="3" t="s">
        <v>79</v>
      </c>
      <c r="S136" s="3" t="s">
        <v>79</v>
      </c>
      <c r="T136" s="3" t="s">
        <v>79</v>
      </c>
      <c r="U136" s="3" t="s">
        <v>79</v>
      </c>
      <c r="V136" s="3" t="s">
        <v>79</v>
      </c>
      <c r="W136" s="3" t="s">
        <v>2015</v>
      </c>
      <c r="X136" s="3" t="s">
        <v>2016</v>
      </c>
      <c r="Y136" s="3" t="s">
        <v>2017</v>
      </c>
      <c r="Z136" s="3" t="s">
        <v>2018</v>
      </c>
      <c r="AA136" s="3" t="s">
        <v>2019</v>
      </c>
      <c r="AB136" s="3" t="s">
        <v>2020</v>
      </c>
      <c r="AC136" s="3" t="s">
        <v>79</v>
      </c>
      <c r="AD136" s="3" t="s">
        <v>2021</v>
      </c>
      <c r="AE136" s="3" t="s">
        <v>79</v>
      </c>
      <c r="AF136" s="3" t="s">
        <v>79</v>
      </c>
      <c r="AG136" s="3" t="s">
        <v>79</v>
      </c>
      <c r="AH136" s="3" t="s">
        <v>79</v>
      </c>
      <c r="AI136" s="3" t="s">
        <v>79</v>
      </c>
      <c r="AJ136" s="3">
        <v>11.0</v>
      </c>
      <c r="AK136" s="3">
        <v>1.0</v>
      </c>
      <c r="AL136" s="3">
        <v>2.0</v>
      </c>
      <c r="AM136" s="3" t="s">
        <v>79</v>
      </c>
      <c r="AN136" s="3" t="s">
        <v>79</v>
      </c>
      <c r="AO136" s="3" t="s">
        <v>79</v>
      </c>
      <c r="AP136" s="3" t="s">
        <v>79</v>
      </c>
      <c r="AQ136" s="3" t="s">
        <v>79</v>
      </c>
      <c r="AR136" s="3" t="s">
        <v>79</v>
      </c>
      <c r="AS136" s="3" t="s">
        <v>79</v>
      </c>
      <c r="AT136" s="3" t="s">
        <v>79</v>
      </c>
      <c r="AU136" s="3" t="s">
        <v>79</v>
      </c>
      <c r="AV136" s="3" t="s">
        <v>79</v>
      </c>
      <c r="AW136" s="3" t="s">
        <v>79</v>
      </c>
      <c r="AX136" s="3">
        <v>2021.0</v>
      </c>
      <c r="AY136" s="3" t="s">
        <v>79</v>
      </c>
      <c r="AZ136" s="3" t="s">
        <v>79</v>
      </c>
      <c r="BA136" s="3" t="s">
        <v>79</v>
      </c>
      <c r="BB136" s="3" t="s">
        <v>79</v>
      </c>
      <c r="BC136" s="3" t="s">
        <v>79</v>
      </c>
      <c r="BD136" s="3" t="s">
        <v>79</v>
      </c>
      <c r="BE136" s="3">
        <v>37.0</v>
      </c>
      <c r="BF136" s="3">
        <v>41.0</v>
      </c>
      <c r="BG136" s="3" t="s">
        <v>79</v>
      </c>
      <c r="BH136" s="3" t="s">
        <v>2022</v>
      </c>
      <c r="BI136" s="8" t="str">
        <f>HYPERLINK("http://dx.doi.org/10.1145/3448340.3448346","http://dx.doi.org/10.1145/3448340.3448346")</f>
        <v>http://dx.doi.org/10.1145/3448340.3448346</v>
      </c>
      <c r="BJ136" s="3" t="s">
        <v>79</v>
      </c>
      <c r="BK136" s="3" t="s">
        <v>79</v>
      </c>
      <c r="BL136" s="3" t="s">
        <v>79</v>
      </c>
      <c r="BM136" s="3" t="s">
        <v>79</v>
      </c>
      <c r="BN136" s="3" t="s">
        <v>79</v>
      </c>
      <c r="BO136" s="3" t="s">
        <v>2023</v>
      </c>
      <c r="BP136" s="3" t="s">
        <v>79</v>
      </c>
      <c r="BQ136" s="3" t="s">
        <v>79</v>
      </c>
      <c r="BR136" s="3" t="s">
        <v>79</v>
      </c>
      <c r="BS136" s="3" t="s">
        <v>79</v>
      </c>
      <c r="BT136" s="3" t="s">
        <v>79</v>
      </c>
      <c r="BU136" s="3" t="s">
        <v>95</v>
      </c>
      <c r="BV136" s="3" t="s">
        <v>2024</v>
      </c>
      <c r="BW136" s="3" t="str">
        <f>HYPERLINK("https%3A%2F%2Fwww.webofscience.com%2Fwos%2Fwoscc%2Ffull-record%2FWOS:001143778000006","View Full Record in Web of Science")</f>
        <v>View Full Record in Web of Science</v>
      </c>
    </row>
    <row r="137" ht="12.75" customHeight="1">
      <c r="A137" s="13"/>
      <c r="B137" s="12"/>
      <c r="C137" s="13"/>
      <c r="D137" s="13" t="s">
        <v>77</v>
      </c>
      <c r="E137" s="3" t="s">
        <v>2025</v>
      </c>
      <c r="F137" s="3" t="s">
        <v>79</v>
      </c>
      <c r="G137" s="3" t="s">
        <v>79</v>
      </c>
      <c r="H137" s="3" t="s">
        <v>80</v>
      </c>
      <c r="I137" s="3" t="s">
        <v>2026</v>
      </c>
      <c r="J137" s="3" t="s">
        <v>79</v>
      </c>
      <c r="K137" s="3" t="s">
        <v>79</v>
      </c>
      <c r="L137" s="3" t="s">
        <v>2027</v>
      </c>
      <c r="M137" s="3" t="s">
        <v>2028</v>
      </c>
      <c r="N137" s="3" t="s">
        <v>79</v>
      </c>
      <c r="O137" s="3" t="s">
        <v>79</v>
      </c>
      <c r="P137" s="3" t="s">
        <v>79</v>
      </c>
      <c r="Q137" s="3" t="s">
        <v>84</v>
      </c>
      <c r="R137" s="3" t="s">
        <v>79</v>
      </c>
      <c r="S137" s="3" t="s">
        <v>79</v>
      </c>
      <c r="T137" s="3" t="s">
        <v>79</v>
      </c>
      <c r="U137" s="3" t="s">
        <v>79</v>
      </c>
      <c r="V137" s="3" t="s">
        <v>79</v>
      </c>
      <c r="W137" s="3" t="s">
        <v>2029</v>
      </c>
      <c r="X137" s="3" t="s">
        <v>1956</v>
      </c>
      <c r="Y137" s="3" t="s">
        <v>2030</v>
      </c>
      <c r="Z137" s="3" t="s">
        <v>2031</v>
      </c>
      <c r="AA137" s="3" t="s">
        <v>2032</v>
      </c>
      <c r="AB137" s="3" t="s">
        <v>2033</v>
      </c>
      <c r="AC137" s="3" t="s">
        <v>79</v>
      </c>
      <c r="AD137" s="3" t="s">
        <v>2034</v>
      </c>
      <c r="AE137" s="3" t="s">
        <v>2035</v>
      </c>
      <c r="AF137" s="3" t="s">
        <v>79</v>
      </c>
      <c r="AG137" s="3" t="s">
        <v>79</v>
      </c>
      <c r="AH137" s="3" t="s">
        <v>79</v>
      </c>
      <c r="AI137" s="3" t="s">
        <v>79</v>
      </c>
      <c r="AJ137" s="3">
        <v>16.0</v>
      </c>
      <c r="AK137" s="3">
        <v>2.0</v>
      </c>
      <c r="AL137" s="3">
        <v>2.0</v>
      </c>
      <c r="AM137" s="3" t="s">
        <v>79</v>
      </c>
      <c r="AN137" s="3" t="s">
        <v>79</v>
      </c>
      <c r="AO137" s="3" t="s">
        <v>79</v>
      </c>
      <c r="AP137" s="3" t="s">
        <v>79</v>
      </c>
      <c r="AQ137" s="3" t="s">
        <v>79</v>
      </c>
      <c r="AR137" s="3" t="s">
        <v>79</v>
      </c>
      <c r="AS137" s="3" t="s">
        <v>79</v>
      </c>
      <c r="AT137" s="3" t="s">
        <v>79</v>
      </c>
      <c r="AU137" s="3" t="s">
        <v>79</v>
      </c>
      <c r="AV137" s="3" t="s">
        <v>79</v>
      </c>
      <c r="AW137" s="3" t="s">
        <v>79</v>
      </c>
      <c r="AX137" s="3">
        <v>2022.0</v>
      </c>
      <c r="AY137" s="3" t="s">
        <v>79</v>
      </c>
      <c r="AZ137" s="3" t="s">
        <v>79</v>
      </c>
      <c r="BA137" s="3" t="s">
        <v>79</v>
      </c>
      <c r="BB137" s="3" t="s">
        <v>79</v>
      </c>
      <c r="BC137" s="3" t="s">
        <v>79</v>
      </c>
      <c r="BD137" s="3" t="s">
        <v>79</v>
      </c>
      <c r="BE137" s="3">
        <v>104.0</v>
      </c>
      <c r="BF137" s="3">
        <v>109.0</v>
      </c>
      <c r="BG137" s="3" t="s">
        <v>79</v>
      </c>
      <c r="BH137" s="3" t="s">
        <v>2036</v>
      </c>
      <c r="BI137" s="8" t="str">
        <f>HYPERLINK("http://dx.doi.org/10.1109/MetroXRAINE54828.2022.9967507","http://dx.doi.org/10.1109/MetroXRAINE54828.2022.9967507")</f>
        <v>http://dx.doi.org/10.1109/MetroXRAINE54828.2022.9967507</v>
      </c>
      <c r="BJ137" s="3" t="s">
        <v>79</v>
      </c>
      <c r="BK137" s="3" t="s">
        <v>79</v>
      </c>
      <c r="BL137" s="3" t="s">
        <v>79</v>
      </c>
      <c r="BM137" s="3" t="s">
        <v>79</v>
      </c>
      <c r="BN137" s="3" t="s">
        <v>79</v>
      </c>
      <c r="BO137" s="3" t="s">
        <v>2037</v>
      </c>
      <c r="BP137" s="3" t="s">
        <v>79</v>
      </c>
      <c r="BQ137" s="3" t="s">
        <v>79</v>
      </c>
      <c r="BR137" s="3" t="s">
        <v>79</v>
      </c>
      <c r="BS137" s="3" t="s">
        <v>79</v>
      </c>
      <c r="BT137" s="3" t="s">
        <v>79</v>
      </c>
      <c r="BU137" s="3" t="s">
        <v>95</v>
      </c>
      <c r="BV137" s="3" t="s">
        <v>2038</v>
      </c>
      <c r="BW137" s="3" t="str">
        <f>HYPERLINK("https%3A%2F%2Fwww.webofscience.com%2Fwos%2Fwoscc%2Ffull-record%2FWOS:000947347200019","View Full Record in Web of Science")</f>
        <v>View Full Record in Web of Science</v>
      </c>
    </row>
    <row r="138" ht="12.75" customHeight="1">
      <c r="A138" s="13"/>
      <c r="B138" s="12"/>
      <c r="C138" s="13"/>
      <c r="D138" s="13" t="s">
        <v>185</v>
      </c>
      <c r="E138" s="3" t="s">
        <v>2039</v>
      </c>
      <c r="F138" s="3" t="s">
        <v>79</v>
      </c>
      <c r="G138" s="3" t="s">
        <v>79</v>
      </c>
      <c r="H138" s="3" t="s">
        <v>79</v>
      </c>
      <c r="I138" s="3" t="s">
        <v>2040</v>
      </c>
      <c r="J138" s="3" t="s">
        <v>79</v>
      </c>
      <c r="K138" s="3" t="s">
        <v>79</v>
      </c>
      <c r="L138" s="3" t="s">
        <v>2041</v>
      </c>
      <c r="M138" s="3" t="s">
        <v>207</v>
      </c>
      <c r="N138" s="3" t="s">
        <v>79</v>
      </c>
      <c r="O138" s="3" t="s">
        <v>79</v>
      </c>
      <c r="P138" s="3" t="s">
        <v>79</v>
      </c>
      <c r="Q138" s="3" t="s">
        <v>190</v>
      </c>
      <c r="R138" s="3" t="s">
        <v>79</v>
      </c>
      <c r="S138" s="3" t="s">
        <v>79</v>
      </c>
      <c r="T138" s="3" t="s">
        <v>79</v>
      </c>
      <c r="U138" s="3" t="s">
        <v>79</v>
      </c>
      <c r="V138" s="3" t="s">
        <v>79</v>
      </c>
      <c r="W138" s="3" t="s">
        <v>2042</v>
      </c>
      <c r="X138" s="3" t="s">
        <v>2043</v>
      </c>
      <c r="Y138" s="3" t="s">
        <v>2044</v>
      </c>
      <c r="Z138" s="3" t="s">
        <v>2045</v>
      </c>
      <c r="AA138" s="3" t="s">
        <v>2046</v>
      </c>
      <c r="AB138" s="3" t="s">
        <v>2047</v>
      </c>
      <c r="AC138" s="3" t="s">
        <v>2048</v>
      </c>
      <c r="AD138" s="3" t="s">
        <v>2049</v>
      </c>
      <c r="AE138" s="3" t="s">
        <v>2050</v>
      </c>
      <c r="AF138" s="3" t="s">
        <v>79</v>
      </c>
      <c r="AG138" s="3" t="s">
        <v>79</v>
      </c>
      <c r="AH138" s="3" t="s">
        <v>79</v>
      </c>
      <c r="AI138" s="3" t="s">
        <v>79</v>
      </c>
      <c r="AJ138" s="3">
        <v>41.0</v>
      </c>
      <c r="AK138" s="3">
        <v>2.0</v>
      </c>
      <c r="AL138" s="3">
        <v>2.0</v>
      </c>
      <c r="AM138" s="3" t="s">
        <v>79</v>
      </c>
      <c r="AN138" s="3" t="s">
        <v>79</v>
      </c>
      <c r="AO138" s="3" t="s">
        <v>79</v>
      </c>
      <c r="AP138" s="3" t="s">
        <v>79</v>
      </c>
      <c r="AQ138" s="3" t="s">
        <v>79</v>
      </c>
      <c r="AR138" s="3" t="s">
        <v>79</v>
      </c>
      <c r="AS138" s="3" t="s">
        <v>79</v>
      </c>
      <c r="AT138" s="3" t="s">
        <v>79</v>
      </c>
      <c r="AU138" s="3" t="s">
        <v>79</v>
      </c>
      <c r="AV138" s="3" t="s">
        <v>79</v>
      </c>
      <c r="AW138" s="3" t="s">
        <v>79</v>
      </c>
      <c r="AX138" s="3">
        <v>2024.0</v>
      </c>
      <c r="AY138" s="3">
        <v>12.0</v>
      </c>
      <c r="AZ138" s="3" t="s">
        <v>79</v>
      </c>
      <c r="BA138" s="3" t="s">
        <v>79</v>
      </c>
      <c r="BB138" s="3" t="s">
        <v>79</v>
      </c>
      <c r="BC138" s="3" t="s">
        <v>79</v>
      </c>
      <c r="BD138" s="3" t="s">
        <v>79</v>
      </c>
      <c r="BE138" s="3">
        <v>46002.0</v>
      </c>
      <c r="BF138" s="3">
        <v>46011.0</v>
      </c>
      <c r="BG138" s="3" t="s">
        <v>79</v>
      </c>
      <c r="BH138" s="3" t="s">
        <v>2051</v>
      </c>
      <c r="BI138" s="8" t="str">
        <f>HYPERLINK("http://dx.doi.org/10.1109/ACCESS.2023.3346674","http://dx.doi.org/10.1109/ACCESS.2023.3346674")</f>
        <v>http://dx.doi.org/10.1109/ACCESS.2023.3346674</v>
      </c>
      <c r="BJ138" s="3" t="s">
        <v>79</v>
      </c>
      <c r="BK138" s="3" t="s">
        <v>79</v>
      </c>
      <c r="BL138" s="3" t="s">
        <v>79</v>
      </c>
      <c r="BM138" s="3" t="s">
        <v>79</v>
      </c>
      <c r="BN138" s="3" t="s">
        <v>79</v>
      </c>
      <c r="BO138" s="3" t="s">
        <v>217</v>
      </c>
      <c r="BP138" s="3" t="s">
        <v>79</v>
      </c>
      <c r="BQ138" s="3" t="s">
        <v>79</v>
      </c>
      <c r="BR138" s="3" t="s">
        <v>79</v>
      </c>
      <c r="BS138" s="3" t="s">
        <v>79</v>
      </c>
      <c r="BT138" s="3" t="s">
        <v>79</v>
      </c>
      <c r="BU138" s="3" t="s">
        <v>95</v>
      </c>
      <c r="BV138" s="3" t="s">
        <v>2052</v>
      </c>
      <c r="BW138" s="3" t="str">
        <f>HYPERLINK("https%3A%2F%2Fwww.webofscience.com%2Fwos%2Fwoscc%2Ffull-record%2FWOS:001196443500001","View Full Record in Web of Science")</f>
        <v>View Full Record in Web of Science</v>
      </c>
    </row>
    <row r="139" ht="12.75" customHeight="1">
      <c r="A139" s="13"/>
      <c r="B139" s="12"/>
      <c r="C139" s="13"/>
      <c r="D139" s="13" t="s">
        <v>185</v>
      </c>
      <c r="E139" s="3" t="s">
        <v>2053</v>
      </c>
      <c r="F139" s="3" t="s">
        <v>79</v>
      </c>
      <c r="G139" s="3" t="s">
        <v>79</v>
      </c>
      <c r="H139" s="3" t="s">
        <v>79</v>
      </c>
      <c r="I139" s="3" t="s">
        <v>2054</v>
      </c>
      <c r="J139" s="3" t="s">
        <v>79</v>
      </c>
      <c r="K139" s="3" t="s">
        <v>79</v>
      </c>
      <c r="L139" s="3" t="s">
        <v>2055</v>
      </c>
      <c r="M139" s="3" t="s">
        <v>234</v>
      </c>
      <c r="N139" s="3" t="s">
        <v>79</v>
      </c>
      <c r="O139" s="3" t="s">
        <v>79</v>
      </c>
      <c r="P139" s="3" t="s">
        <v>79</v>
      </c>
      <c r="Q139" s="3" t="s">
        <v>190</v>
      </c>
      <c r="R139" s="3" t="s">
        <v>79</v>
      </c>
      <c r="S139" s="3" t="s">
        <v>79</v>
      </c>
      <c r="T139" s="3" t="s">
        <v>79</v>
      </c>
      <c r="U139" s="3" t="s">
        <v>79</v>
      </c>
      <c r="V139" s="3" t="s">
        <v>79</v>
      </c>
      <c r="W139" s="3" t="s">
        <v>2056</v>
      </c>
      <c r="X139" s="3" t="s">
        <v>2057</v>
      </c>
      <c r="Y139" s="3" t="s">
        <v>2058</v>
      </c>
      <c r="Z139" s="3" t="s">
        <v>2059</v>
      </c>
      <c r="AA139" s="3" t="s">
        <v>2060</v>
      </c>
      <c r="AB139" s="3" t="s">
        <v>2061</v>
      </c>
      <c r="AC139" s="3" t="s">
        <v>2062</v>
      </c>
      <c r="AD139" s="3" t="s">
        <v>79</v>
      </c>
      <c r="AE139" s="3" t="s">
        <v>79</v>
      </c>
      <c r="AF139" s="3" t="s">
        <v>79</v>
      </c>
      <c r="AG139" s="3" t="s">
        <v>79</v>
      </c>
      <c r="AH139" s="3" t="s">
        <v>79</v>
      </c>
      <c r="AI139" s="3" t="s">
        <v>79</v>
      </c>
      <c r="AJ139" s="3">
        <v>73.0</v>
      </c>
      <c r="AK139" s="3">
        <v>6.0</v>
      </c>
      <c r="AL139" s="3">
        <v>6.0</v>
      </c>
      <c r="AM139" s="3" t="s">
        <v>79</v>
      </c>
      <c r="AN139" s="3" t="s">
        <v>79</v>
      </c>
      <c r="AO139" s="3" t="s">
        <v>79</v>
      </c>
      <c r="AP139" s="3" t="s">
        <v>79</v>
      </c>
      <c r="AQ139" s="3" t="s">
        <v>79</v>
      </c>
      <c r="AR139" s="3" t="s">
        <v>79</v>
      </c>
      <c r="AS139" s="3" t="s">
        <v>79</v>
      </c>
      <c r="AT139" s="3" t="s">
        <v>79</v>
      </c>
      <c r="AU139" s="3" t="s">
        <v>79</v>
      </c>
      <c r="AV139" s="3" t="s">
        <v>79</v>
      </c>
      <c r="AW139" s="3" t="s">
        <v>1937</v>
      </c>
      <c r="AX139" s="3">
        <v>2023.0</v>
      </c>
      <c r="AY139" s="3">
        <v>23.0</v>
      </c>
      <c r="AZ139" s="3">
        <v>21.0</v>
      </c>
      <c r="BA139" s="3" t="s">
        <v>79</v>
      </c>
      <c r="BB139" s="3" t="s">
        <v>79</v>
      </c>
      <c r="BC139" s="3" t="s">
        <v>79</v>
      </c>
      <c r="BD139" s="3" t="s">
        <v>79</v>
      </c>
      <c r="BE139" s="3" t="s">
        <v>79</v>
      </c>
      <c r="BF139" s="3" t="s">
        <v>79</v>
      </c>
      <c r="BG139" s="3">
        <v>8893.0</v>
      </c>
      <c r="BH139" s="3" t="s">
        <v>2063</v>
      </c>
      <c r="BI139" s="8" t="str">
        <f>HYPERLINK("http://dx.doi.org/10.3390/s23218893","http://dx.doi.org/10.3390/s23218893")</f>
        <v>http://dx.doi.org/10.3390/s23218893</v>
      </c>
      <c r="BJ139" s="3" t="s">
        <v>79</v>
      </c>
      <c r="BK139" s="3" t="s">
        <v>79</v>
      </c>
      <c r="BL139" s="3" t="s">
        <v>79</v>
      </c>
      <c r="BM139" s="3" t="s">
        <v>79</v>
      </c>
      <c r="BN139" s="3" t="s">
        <v>79</v>
      </c>
      <c r="BO139" s="3" t="s">
        <v>246</v>
      </c>
      <c r="BP139" s="3" t="s">
        <v>79</v>
      </c>
      <c r="BQ139" s="3" t="s">
        <v>79</v>
      </c>
      <c r="BR139" s="3" t="s">
        <v>79</v>
      </c>
      <c r="BS139" s="3" t="s">
        <v>79</v>
      </c>
      <c r="BT139" s="3" t="s">
        <v>79</v>
      </c>
      <c r="BU139" s="3" t="s">
        <v>95</v>
      </c>
      <c r="BV139" s="3" t="s">
        <v>2064</v>
      </c>
      <c r="BW139" s="3" t="str">
        <f>HYPERLINK("https%3A%2F%2Fwww.webofscience.com%2Fwos%2Fwoscc%2Ffull-record%2FWOS:001100526700001","View Full Record in Web of Science")</f>
        <v>View Full Record in Web of Science</v>
      </c>
    </row>
    <row r="140" ht="12.75" customHeight="1">
      <c r="A140" s="13"/>
      <c r="B140" s="12"/>
      <c r="C140" s="13"/>
      <c r="D140" s="13" t="s">
        <v>185</v>
      </c>
      <c r="E140" s="3" t="s">
        <v>2065</v>
      </c>
      <c r="F140" s="3" t="s">
        <v>79</v>
      </c>
      <c r="G140" s="3" t="s">
        <v>79</v>
      </c>
      <c r="H140" s="3" t="s">
        <v>79</v>
      </c>
      <c r="I140" s="3" t="s">
        <v>2066</v>
      </c>
      <c r="J140" s="3" t="s">
        <v>79</v>
      </c>
      <c r="K140" s="3" t="s">
        <v>79</v>
      </c>
      <c r="L140" s="3" t="s">
        <v>2067</v>
      </c>
      <c r="M140" s="3" t="s">
        <v>2068</v>
      </c>
      <c r="N140" s="3" t="s">
        <v>79</v>
      </c>
      <c r="O140" s="3" t="s">
        <v>79</v>
      </c>
      <c r="P140" s="3" t="s">
        <v>79</v>
      </c>
      <c r="Q140" s="3" t="s">
        <v>190</v>
      </c>
      <c r="R140" s="3" t="s">
        <v>79</v>
      </c>
      <c r="S140" s="3" t="s">
        <v>79</v>
      </c>
      <c r="T140" s="3" t="s">
        <v>79</v>
      </c>
      <c r="U140" s="3" t="s">
        <v>79</v>
      </c>
      <c r="V140" s="3" t="s">
        <v>79</v>
      </c>
      <c r="W140" s="3" t="s">
        <v>2069</v>
      </c>
      <c r="X140" s="3" t="s">
        <v>2070</v>
      </c>
      <c r="Y140" s="3" t="s">
        <v>2071</v>
      </c>
      <c r="Z140" s="3" t="s">
        <v>2072</v>
      </c>
      <c r="AA140" s="3" t="s">
        <v>2073</v>
      </c>
      <c r="AB140" s="3" t="s">
        <v>2074</v>
      </c>
      <c r="AC140" s="3" t="s">
        <v>2075</v>
      </c>
      <c r="AD140" s="3" t="s">
        <v>79</v>
      </c>
      <c r="AE140" s="3" t="s">
        <v>2076</v>
      </c>
      <c r="AF140" s="3" t="s">
        <v>79</v>
      </c>
      <c r="AG140" s="3" t="s">
        <v>79</v>
      </c>
      <c r="AH140" s="3" t="s">
        <v>79</v>
      </c>
      <c r="AI140" s="3" t="s">
        <v>79</v>
      </c>
      <c r="AJ140" s="3">
        <v>49.0</v>
      </c>
      <c r="AK140" s="3">
        <v>3.0</v>
      </c>
      <c r="AL140" s="3">
        <v>3.0</v>
      </c>
      <c r="AM140" s="3" t="s">
        <v>79</v>
      </c>
      <c r="AN140" s="3" t="s">
        <v>79</v>
      </c>
      <c r="AO140" s="3" t="s">
        <v>79</v>
      </c>
      <c r="AP140" s="3" t="s">
        <v>79</v>
      </c>
      <c r="AQ140" s="3" t="s">
        <v>79</v>
      </c>
      <c r="AR140" s="3" t="s">
        <v>79</v>
      </c>
      <c r="AS140" s="3" t="s">
        <v>79</v>
      </c>
      <c r="AT140" s="3" t="s">
        <v>79</v>
      </c>
      <c r="AU140" s="3" t="s">
        <v>79</v>
      </c>
      <c r="AV140" s="3" t="s">
        <v>79</v>
      </c>
      <c r="AW140" s="3" t="s">
        <v>79</v>
      </c>
      <c r="AX140" s="3">
        <v>2025.0</v>
      </c>
      <c r="AY140" s="3">
        <v>74.0</v>
      </c>
      <c r="AZ140" s="3" t="s">
        <v>79</v>
      </c>
      <c r="BA140" s="3" t="s">
        <v>79</v>
      </c>
      <c r="BB140" s="3" t="s">
        <v>79</v>
      </c>
      <c r="BC140" s="3" t="s">
        <v>79</v>
      </c>
      <c r="BD140" s="3" t="s">
        <v>79</v>
      </c>
      <c r="BE140" s="3" t="s">
        <v>79</v>
      </c>
      <c r="BF140" s="3" t="s">
        <v>79</v>
      </c>
      <c r="BG140" s="3">
        <v>2500712.0</v>
      </c>
      <c r="BH140" s="3" t="s">
        <v>2077</v>
      </c>
      <c r="BI140" s="8" t="str">
        <f>HYPERLINK("http://dx.doi.org/10.1109/TIM.2024.3500057","http://dx.doi.org/10.1109/TIM.2024.3500057")</f>
        <v>http://dx.doi.org/10.1109/TIM.2024.3500057</v>
      </c>
      <c r="BJ140" s="3" t="s">
        <v>79</v>
      </c>
      <c r="BK140" s="3" t="s">
        <v>79</v>
      </c>
      <c r="BL140" s="3" t="s">
        <v>79</v>
      </c>
      <c r="BM140" s="3" t="s">
        <v>79</v>
      </c>
      <c r="BN140" s="3" t="s">
        <v>79</v>
      </c>
      <c r="BO140" s="3" t="s">
        <v>2078</v>
      </c>
      <c r="BP140" s="3" t="s">
        <v>79</v>
      </c>
      <c r="BQ140" s="3" t="s">
        <v>79</v>
      </c>
      <c r="BR140" s="3" t="s">
        <v>79</v>
      </c>
      <c r="BS140" s="3" t="s">
        <v>79</v>
      </c>
      <c r="BT140" s="3" t="s">
        <v>79</v>
      </c>
      <c r="BU140" s="3" t="s">
        <v>95</v>
      </c>
      <c r="BV140" s="3" t="s">
        <v>2079</v>
      </c>
      <c r="BW140" s="3" t="str">
        <f>HYPERLINK("https%3A%2F%2Fwww.webofscience.com%2Fwos%2Fwoscc%2Ffull-record%2FWOS:001370775800007","View Full Record in Web of Science")</f>
        <v>View Full Record in Web of Science</v>
      </c>
    </row>
    <row r="141" ht="12.75" customHeight="1">
      <c r="A141" s="13"/>
      <c r="B141" s="12"/>
      <c r="C141" s="13"/>
      <c r="D141" s="13" t="s">
        <v>185</v>
      </c>
      <c r="E141" s="3" t="s">
        <v>2080</v>
      </c>
      <c r="F141" s="3" t="s">
        <v>79</v>
      </c>
      <c r="G141" s="3" t="s">
        <v>79</v>
      </c>
      <c r="H141" s="3" t="s">
        <v>79</v>
      </c>
      <c r="I141" s="3" t="s">
        <v>2081</v>
      </c>
      <c r="J141" s="3" t="s">
        <v>79</v>
      </c>
      <c r="K141" s="3" t="s">
        <v>79</v>
      </c>
      <c r="L141" s="3" t="s">
        <v>2082</v>
      </c>
      <c r="M141" s="3" t="s">
        <v>2083</v>
      </c>
      <c r="N141" s="3" t="s">
        <v>79</v>
      </c>
      <c r="O141" s="3" t="s">
        <v>79</v>
      </c>
      <c r="P141" s="3" t="s">
        <v>79</v>
      </c>
      <c r="Q141" s="3" t="s">
        <v>190</v>
      </c>
      <c r="R141" s="3" t="s">
        <v>79</v>
      </c>
      <c r="S141" s="3" t="s">
        <v>79</v>
      </c>
      <c r="T141" s="3" t="s">
        <v>79</v>
      </c>
      <c r="U141" s="3" t="s">
        <v>79</v>
      </c>
      <c r="V141" s="3" t="s">
        <v>79</v>
      </c>
      <c r="W141" s="3" t="s">
        <v>2084</v>
      </c>
      <c r="X141" s="3" t="s">
        <v>2085</v>
      </c>
      <c r="Y141" s="3" t="s">
        <v>2086</v>
      </c>
      <c r="Z141" s="3" t="s">
        <v>2087</v>
      </c>
      <c r="AA141" s="3" t="s">
        <v>2088</v>
      </c>
      <c r="AB141" s="3" t="s">
        <v>2089</v>
      </c>
      <c r="AC141" s="3" t="s">
        <v>2090</v>
      </c>
      <c r="AD141" s="3" t="s">
        <v>79</v>
      </c>
      <c r="AE141" s="3" t="s">
        <v>79</v>
      </c>
      <c r="AF141" s="3" t="s">
        <v>79</v>
      </c>
      <c r="AG141" s="3" t="s">
        <v>79</v>
      </c>
      <c r="AH141" s="3" t="s">
        <v>79</v>
      </c>
      <c r="AI141" s="3" t="s">
        <v>79</v>
      </c>
      <c r="AJ141" s="3">
        <v>32.0</v>
      </c>
      <c r="AK141" s="3">
        <v>1.0</v>
      </c>
      <c r="AL141" s="3">
        <v>1.0</v>
      </c>
      <c r="AM141" s="3" t="s">
        <v>79</v>
      </c>
      <c r="AN141" s="3" t="s">
        <v>79</v>
      </c>
      <c r="AO141" s="3" t="s">
        <v>79</v>
      </c>
      <c r="AP141" s="3" t="s">
        <v>79</v>
      </c>
      <c r="AQ141" s="3" t="s">
        <v>79</v>
      </c>
      <c r="AR141" s="3" t="s">
        <v>79</v>
      </c>
      <c r="AS141" s="3" t="s">
        <v>79</v>
      </c>
      <c r="AT141" s="3" t="s">
        <v>79</v>
      </c>
      <c r="AU141" s="3" t="s">
        <v>79</v>
      </c>
      <c r="AV141" s="3" t="s">
        <v>79</v>
      </c>
      <c r="AW141" s="3" t="s">
        <v>2091</v>
      </c>
      <c r="AX141" s="3">
        <v>2025.0</v>
      </c>
      <c r="AY141" s="3">
        <v>41.0</v>
      </c>
      <c r="AZ141" s="3">
        <v>20.0</v>
      </c>
      <c r="BA141" s="3" t="s">
        <v>79</v>
      </c>
      <c r="BB141" s="3" t="s">
        <v>79</v>
      </c>
      <c r="BC141" s="3" t="s">
        <v>79</v>
      </c>
      <c r="BD141" s="3" t="s">
        <v>79</v>
      </c>
      <c r="BE141" s="3">
        <v>12584.0</v>
      </c>
      <c r="BF141" s="3">
        <v>12601.0</v>
      </c>
      <c r="BG141" s="3" t="s">
        <v>79</v>
      </c>
      <c r="BH141" s="3" t="s">
        <v>2092</v>
      </c>
      <c r="BI141" s="8" t="str">
        <f>HYPERLINK("http://dx.doi.org/10.1080/10447318.2025.2464097","http://dx.doi.org/10.1080/10447318.2025.2464097")</f>
        <v>http://dx.doi.org/10.1080/10447318.2025.2464097</v>
      </c>
      <c r="BJ141" s="3" t="s">
        <v>79</v>
      </c>
      <c r="BK141" s="3" t="s">
        <v>2093</v>
      </c>
      <c r="BL141" s="3" t="s">
        <v>79</v>
      </c>
      <c r="BM141" s="3" t="s">
        <v>79</v>
      </c>
      <c r="BN141" s="3" t="s">
        <v>79</v>
      </c>
      <c r="BO141" s="3" t="s">
        <v>152</v>
      </c>
      <c r="BP141" s="3" t="s">
        <v>79</v>
      </c>
      <c r="BQ141" s="3" t="s">
        <v>79</v>
      </c>
      <c r="BR141" s="3" t="s">
        <v>79</v>
      </c>
      <c r="BS141" s="3" t="s">
        <v>79</v>
      </c>
      <c r="BT141" s="3" t="s">
        <v>79</v>
      </c>
      <c r="BU141" s="3" t="s">
        <v>95</v>
      </c>
      <c r="BV141" s="3" t="s">
        <v>2094</v>
      </c>
      <c r="BW141" s="3" t="str">
        <f>HYPERLINK("https%3A%2F%2Fwww.webofscience.com%2Fwos%2Fwoscc%2Ffull-record%2FWOS:001432959600001","View Full Record in Web of Science")</f>
        <v>View Full Record in Web of Science</v>
      </c>
    </row>
    <row r="142" ht="12.75" customHeight="1">
      <c r="A142" s="13"/>
      <c r="B142" s="12"/>
      <c r="C142" s="13"/>
      <c r="D142" s="13" t="s">
        <v>185</v>
      </c>
      <c r="E142" s="3" t="s">
        <v>2095</v>
      </c>
      <c r="F142" s="3" t="s">
        <v>79</v>
      </c>
      <c r="G142" s="3" t="s">
        <v>79</v>
      </c>
      <c r="H142" s="3" t="s">
        <v>79</v>
      </c>
      <c r="I142" s="3" t="s">
        <v>2096</v>
      </c>
      <c r="J142" s="3" t="s">
        <v>79</v>
      </c>
      <c r="K142" s="3" t="s">
        <v>79</v>
      </c>
      <c r="L142" s="3" t="s">
        <v>2097</v>
      </c>
      <c r="M142" s="3" t="s">
        <v>2098</v>
      </c>
      <c r="N142" s="3" t="s">
        <v>79</v>
      </c>
      <c r="O142" s="3" t="s">
        <v>79</v>
      </c>
      <c r="P142" s="3" t="s">
        <v>79</v>
      </c>
      <c r="Q142" s="3" t="s">
        <v>190</v>
      </c>
      <c r="R142" s="3" t="s">
        <v>79</v>
      </c>
      <c r="S142" s="3" t="s">
        <v>79</v>
      </c>
      <c r="T142" s="3" t="s">
        <v>79</v>
      </c>
      <c r="U142" s="3" t="s">
        <v>79</v>
      </c>
      <c r="V142" s="3" t="s">
        <v>79</v>
      </c>
      <c r="W142" s="3" t="s">
        <v>2099</v>
      </c>
      <c r="X142" s="3" t="s">
        <v>2100</v>
      </c>
      <c r="Y142" s="3" t="s">
        <v>2101</v>
      </c>
      <c r="Z142" s="3" t="s">
        <v>2102</v>
      </c>
      <c r="AA142" s="3" t="s">
        <v>2103</v>
      </c>
      <c r="AB142" s="3" t="s">
        <v>2104</v>
      </c>
      <c r="AC142" s="3" t="s">
        <v>79</v>
      </c>
      <c r="AD142" s="3" t="s">
        <v>2105</v>
      </c>
      <c r="AE142" s="3" t="s">
        <v>79</v>
      </c>
      <c r="AF142" s="3" t="s">
        <v>79</v>
      </c>
      <c r="AG142" s="3" t="s">
        <v>79</v>
      </c>
      <c r="AH142" s="3" t="s">
        <v>79</v>
      </c>
      <c r="AI142" s="3" t="s">
        <v>79</v>
      </c>
      <c r="AJ142" s="3">
        <v>36.0</v>
      </c>
      <c r="AK142" s="3">
        <v>5.0</v>
      </c>
      <c r="AL142" s="3">
        <v>6.0</v>
      </c>
      <c r="AM142" s="3" t="s">
        <v>79</v>
      </c>
      <c r="AN142" s="3" t="s">
        <v>79</v>
      </c>
      <c r="AO142" s="3" t="s">
        <v>79</v>
      </c>
      <c r="AP142" s="3" t="s">
        <v>79</v>
      </c>
      <c r="AQ142" s="3" t="s">
        <v>79</v>
      </c>
      <c r="AR142" s="3" t="s">
        <v>79</v>
      </c>
      <c r="AS142" s="3" t="s">
        <v>79</v>
      </c>
      <c r="AT142" s="3" t="s">
        <v>79</v>
      </c>
      <c r="AU142" s="3" t="s">
        <v>79</v>
      </c>
      <c r="AV142" s="3" t="s">
        <v>79</v>
      </c>
      <c r="AW142" s="3" t="s">
        <v>2106</v>
      </c>
      <c r="AX142" s="3">
        <v>2016.0</v>
      </c>
      <c r="AY142" s="3">
        <v>5.0</v>
      </c>
      <c r="AZ142" s="3">
        <v>4.0</v>
      </c>
      <c r="BA142" s="3" t="s">
        <v>79</v>
      </c>
      <c r="BB142" s="3" t="s">
        <v>79</v>
      </c>
      <c r="BC142" s="3" t="s">
        <v>79</v>
      </c>
      <c r="BD142" s="3" t="s">
        <v>79</v>
      </c>
      <c r="BE142" s="3">
        <v>64.0</v>
      </c>
      <c r="BF142" s="3">
        <v>82.0</v>
      </c>
      <c r="BG142" s="3" t="s">
        <v>79</v>
      </c>
      <c r="BH142" s="3" t="s">
        <v>2107</v>
      </c>
      <c r="BI142" s="8" t="str">
        <f>HYPERLINK("http://dx.doi.org/10.4018/IJSDA.2016100104","http://dx.doi.org/10.4018/IJSDA.2016100104")</f>
        <v>http://dx.doi.org/10.4018/IJSDA.2016100104</v>
      </c>
      <c r="BJ142" s="3" t="s">
        <v>79</v>
      </c>
      <c r="BK142" s="3" t="s">
        <v>79</v>
      </c>
      <c r="BL142" s="3" t="s">
        <v>79</v>
      </c>
      <c r="BM142" s="3" t="s">
        <v>79</v>
      </c>
      <c r="BN142" s="3" t="s">
        <v>79</v>
      </c>
      <c r="BO142" s="3" t="s">
        <v>275</v>
      </c>
      <c r="BP142" s="3" t="s">
        <v>79</v>
      </c>
      <c r="BQ142" s="3" t="s">
        <v>79</v>
      </c>
      <c r="BR142" s="3" t="s">
        <v>79</v>
      </c>
      <c r="BS142" s="3" t="s">
        <v>79</v>
      </c>
      <c r="BT142" s="3" t="s">
        <v>79</v>
      </c>
      <c r="BU142" s="3" t="s">
        <v>95</v>
      </c>
      <c r="BV142" s="3" t="s">
        <v>2108</v>
      </c>
      <c r="BW142" s="3" t="str">
        <f>HYPERLINK("https%3A%2F%2Fwww.webofscience.com%2Fwos%2Fwoscc%2Ffull-record%2FWOS:000384911800004","View Full Record in Web of Science")</f>
        <v>View Full Record in Web of Science</v>
      </c>
    </row>
    <row r="143" ht="12.75" customHeight="1">
      <c r="A143" s="13"/>
      <c r="B143" s="12"/>
      <c r="C143" s="13"/>
      <c r="D143" s="13" t="s">
        <v>185</v>
      </c>
      <c r="E143" s="3" t="s">
        <v>2109</v>
      </c>
      <c r="F143" s="3" t="s">
        <v>79</v>
      </c>
      <c r="G143" s="3" t="s">
        <v>79</v>
      </c>
      <c r="H143" s="3" t="s">
        <v>79</v>
      </c>
      <c r="I143" s="3" t="s">
        <v>2110</v>
      </c>
      <c r="J143" s="3" t="s">
        <v>79</v>
      </c>
      <c r="K143" s="3" t="s">
        <v>79</v>
      </c>
      <c r="L143" s="3" t="s">
        <v>2111</v>
      </c>
      <c r="M143" s="3" t="s">
        <v>1778</v>
      </c>
      <c r="N143" s="3" t="s">
        <v>79</v>
      </c>
      <c r="O143" s="3" t="s">
        <v>79</v>
      </c>
      <c r="P143" s="3" t="s">
        <v>79</v>
      </c>
      <c r="Q143" s="3" t="s">
        <v>190</v>
      </c>
      <c r="R143" s="3" t="s">
        <v>79</v>
      </c>
      <c r="S143" s="3" t="s">
        <v>79</v>
      </c>
      <c r="T143" s="3" t="s">
        <v>79</v>
      </c>
      <c r="U143" s="3" t="s">
        <v>79</v>
      </c>
      <c r="V143" s="3" t="s">
        <v>79</v>
      </c>
      <c r="W143" s="3" t="s">
        <v>2112</v>
      </c>
      <c r="X143" s="3" t="s">
        <v>2113</v>
      </c>
      <c r="Y143" s="3" t="s">
        <v>2114</v>
      </c>
      <c r="Z143" s="3" t="s">
        <v>2115</v>
      </c>
      <c r="AA143" s="3" t="s">
        <v>2116</v>
      </c>
      <c r="AB143" s="3" t="s">
        <v>2117</v>
      </c>
      <c r="AC143" s="3" t="s">
        <v>2118</v>
      </c>
      <c r="AD143" s="3" t="s">
        <v>2119</v>
      </c>
      <c r="AE143" s="3" t="s">
        <v>2120</v>
      </c>
      <c r="AF143" s="3" t="s">
        <v>79</v>
      </c>
      <c r="AG143" s="3" t="s">
        <v>79</v>
      </c>
      <c r="AH143" s="3" t="s">
        <v>79</v>
      </c>
      <c r="AI143" s="3" t="s">
        <v>79</v>
      </c>
      <c r="AJ143" s="3">
        <v>60.0</v>
      </c>
      <c r="AK143" s="3">
        <v>6.0</v>
      </c>
      <c r="AL143" s="3">
        <v>8.0</v>
      </c>
      <c r="AM143" s="3" t="s">
        <v>79</v>
      </c>
      <c r="AN143" s="3" t="s">
        <v>79</v>
      </c>
      <c r="AO143" s="3" t="s">
        <v>79</v>
      </c>
      <c r="AP143" s="3" t="s">
        <v>79</v>
      </c>
      <c r="AQ143" s="3" t="s">
        <v>79</v>
      </c>
      <c r="AR143" s="3" t="s">
        <v>79</v>
      </c>
      <c r="AS143" s="3" t="s">
        <v>79</v>
      </c>
      <c r="AT143" s="3" t="s">
        <v>79</v>
      </c>
      <c r="AU143" s="3" t="s">
        <v>79</v>
      </c>
      <c r="AV143" s="3" t="s">
        <v>79</v>
      </c>
      <c r="AW143" s="3" t="s">
        <v>1878</v>
      </c>
      <c r="AX143" s="3">
        <v>2021.0</v>
      </c>
      <c r="AY143" s="3">
        <v>364.0</v>
      </c>
      <c r="AZ143" s="3" t="s">
        <v>79</v>
      </c>
      <c r="BA143" s="3" t="s">
        <v>79</v>
      </c>
      <c r="BB143" s="3" t="s">
        <v>79</v>
      </c>
      <c r="BC143" s="3" t="s">
        <v>79</v>
      </c>
      <c r="BD143" s="3" t="s">
        <v>79</v>
      </c>
      <c r="BE143" s="3" t="s">
        <v>79</v>
      </c>
      <c r="BF143" s="3" t="s">
        <v>79</v>
      </c>
      <c r="BG143" s="3">
        <v>109373.0</v>
      </c>
      <c r="BH143" s="3" t="s">
        <v>2121</v>
      </c>
      <c r="BI143" s="8" t="str">
        <f>HYPERLINK("http://dx.doi.org/10.1016/j.jneumeth.2021.109373","http://dx.doi.org/10.1016/j.jneumeth.2021.109373")</f>
        <v>http://dx.doi.org/10.1016/j.jneumeth.2021.109373</v>
      </c>
      <c r="BJ143" s="3" t="s">
        <v>79</v>
      </c>
      <c r="BK143" s="3" t="s">
        <v>2122</v>
      </c>
      <c r="BL143" s="3" t="s">
        <v>79</v>
      </c>
      <c r="BM143" s="3" t="s">
        <v>79</v>
      </c>
      <c r="BN143" s="3" t="s">
        <v>79</v>
      </c>
      <c r="BO143" s="3" t="s">
        <v>1790</v>
      </c>
      <c r="BP143" s="3" t="s">
        <v>79</v>
      </c>
      <c r="BQ143" s="3" t="s">
        <v>79</v>
      </c>
      <c r="BR143" s="3" t="s">
        <v>79</v>
      </c>
      <c r="BS143" s="3" t="s">
        <v>79</v>
      </c>
      <c r="BT143" s="3" t="s">
        <v>79</v>
      </c>
      <c r="BU143" s="3" t="s">
        <v>95</v>
      </c>
      <c r="BV143" s="3" t="s">
        <v>2123</v>
      </c>
      <c r="BW143" s="3" t="str">
        <f>HYPERLINK("https%3A%2F%2Fwww.webofscience.com%2Fwos%2Fwoscc%2Ffull-record%2FWOS:000710121800004","View Full Record in Web of Science")</f>
        <v>View Full Record in Web of Science</v>
      </c>
    </row>
    <row r="144" ht="12.75" customHeight="1">
      <c r="A144" s="13"/>
      <c r="B144" s="12"/>
      <c r="C144" s="13"/>
      <c r="D144" s="13" t="s">
        <v>185</v>
      </c>
      <c r="E144" s="3" t="s">
        <v>2124</v>
      </c>
      <c r="F144" s="3" t="s">
        <v>79</v>
      </c>
      <c r="G144" s="3" t="s">
        <v>79</v>
      </c>
      <c r="H144" s="3" t="s">
        <v>79</v>
      </c>
      <c r="I144" s="3" t="s">
        <v>2125</v>
      </c>
      <c r="J144" s="3" t="s">
        <v>79</v>
      </c>
      <c r="K144" s="3" t="s">
        <v>79</v>
      </c>
      <c r="L144" s="3" t="s">
        <v>2126</v>
      </c>
      <c r="M144" s="3" t="s">
        <v>410</v>
      </c>
      <c r="N144" s="3" t="s">
        <v>79</v>
      </c>
      <c r="O144" s="3" t="s">
        <v>79</v>
      </c>
      <c r="P144" s="3" t="s">
        <v>79</v>
      </c>
      <c r="Q144" s="3" t="s">
        <v>190</v>
      </c>
      <c r="R144" s="3" t="s">
        <v>79</v>
      </c>
      <c r="S144" s="3" t="s">
        <v>79</v>
      </c>
      <c r="T144" s="3" t="s">
        <v>79</v>
      </c>
      <c r="U144" s="3" t="s">
        <v>79</v>
      </c>
      <c r="V144" s="3" t="s">
        <v>79</v>
      </c>
      <c r="W144" s="3" t="s">
        <v>2127</v>
      </c>
      <c r="X144" s="3" t="s">
        <v>2128</v>
      </c>
      <c r="Y144" s="3" t="s">
        <v>2129</v>
      </c>
      <c r="Z144" s="3" t="s">
        <v>2130</v>
      </c>
      <c r="AA144" s="3" t="s">
        <v>2131</v>
      </c>
      <c r="AB144" s="3" t="s">
        <v>2132</v>
      </c>
      <c r="AC144" s="3" t="s">
        <v>2133</v>
      </c>
      <c r="AD144" s="3" t="s">
        <v>2134</v>
      </c>
      <c r="AE144" s="3" t="s">
        <v>2135</v>
      </c>
      <c r="AF144" s="3" t="s">
        <v>79</v>
      </c>
      <c r="AG144" s="3" t="s">
        <v>79</v>
      </c>
      <c r="AH144" s="3" t="s">
        <v>79</v>
      </c>
      <c r="AI144" s="3" t="s">
        <v>79</v>
      </c>
      <c r="AJ144" s="3">
        <v>52.0</v>
      </c>
      <c r="AK144" s="3">
        <v>16.0</v>
      </c>
      <c r="AL144" s="3">
        <v>19.0</v>
      </c>
      <c r="AM144" s="3" t="s">
        <v>79</v>
      </c>
      <c r="AN144" s="3" t="s">
        <v>79</v>
      </c>
      <c r="AO144" s="3" t="s">
        <v>79</v>
      </c>
      <c r="AP144" s="3" t="s">
        <v>79</v>
      </c>
      <c r="AQ144" s="3" t="s">
        <v>79</v>
      </c>
      <c r="AR144" s="3" t="s">
        <v>79</v>
      </c>
      <c r="AS144" s="3" t="s">
        <v>79</v>
      </c>
      <c r="AT144" s="3" t="s">
        <v>79</v>
      </c>
      <c r="AU144" s="3" t="s">
        <v>79</v>
      </c>
      <c r="AV144" s="3" t="s">
        <v>79</v>
      </c>
      <c r="AW144" s="3" t="s">
        <v>79</v>
      </c>
      <c r="AX144" s="3">
        <v>2023.0</v>
      </c>
      <c r="AY144" s="3">
        <v>31.0</v>
      </c>
      <c r="AZ144" s="3" t="s">
        <v>79</v>
      </c>
      <c r="BA144" s="3" t="s">
        <v>79</v>
      </c>
      <c r="BB144" s="3" t="s">
        <v>79</v>
      </c>
      <c r="BC144" s="3" t="s">
        <v>79</v>
      </c>
      <c r="BD144" s="3" t="s">
        <v>79</v>
      </c>
      <c r="BE144" s="3">
        <v>3823.0</v>
      </c>
      <c r="BF144" s="3">
        <v>3834.0</v>
      </c>
      <c r="BG144" s="3" t="s">
        <v>79</v>
      </c>
      <c r="BH144" s="3" t="s">
        <v>2136</v>
      </c>
      <c r="BI144" s="8" t="str">
        <f>HYPERLINK("http://dx.doi.org/10.1109/TNSRE.2023.3315717","http://dx.doi.org/10.1109/TNSRE.2023.3315717")</f>
        <v>http://dx.doi.org/10.1109/TNSRE.2023.3315717</v>
      </c>
      <c r="BJ144" s="3" t="s">
        <v>79</v>
      </c>
      <c r="BK144" s="3" t="s">
        <v>79</v>
      </c>
      <c r="BL144" s="3" t="s">
        <v>79</v>
      </c>
      <c r="BM144" s="3" t="s">
        <v>79</v>
      </c>
      <c r="BN144" s="3" t="s">
        <v>79</v>
      </c>
      <c r="BO144" s="3" t="s">
        <v>109</v>
      </c>
      <c r="BP144" s="3" t="s">
        <v>79</v>
      </c>
      <c r="BQ144" s="3" t="s">
        <v>79</v>
      </c>
      <c r="BR144" s="3" t="s">
        <v>79</v>
      </c>
      <c r="BS144" s="3" t="s">
        <v>79</v>
      </c>
      <c r="BT144" s="3" t="s">
        <v>79</v>
      </c>
      <c r="BU144" s="3" t="s">
        <v>95</v>
      </c>
      <c r="BV144" s="3" t="s">
        <v>2137</v>
      </c>
      <c r="BW144" s="3" t="str">
        <f>HYPERLINK("https%3A%2F%2Fwww.webofscience.com%2Fwos%2Fwoscc%2Ffull-record%2FWOS:001081797300001","View Full Record in Web of Science")</f>
        <v>View Full Record in Web of Science</v>
      </c>
    </row>
    <row r="145" ht="12.75" customHeight="1">
      <c r="A145" s="13"/>
      <c r="B145" s="12"/>
      <c r="C145" s="13"/>
      <c r="D145" s="13" t="s">
        <v>185</v>
      </c>
      <c r="E145" s="3" t="s">
        <v>2138</v>
      </c>
      <c r="F145" s="3" t="s">
        <v>79</v>
      </c>
      <c r="G145" s="3" t="s">
        <v>79</v>
      </c>
      <c r="H145" s="3" t="s">
        <v>79</v>
      </c>
      <c r="I145" s="3" t="s">
        <v>2139</v>
      </c>
      <c r="J145" s="3" t="s">
        <v>79</v>
      </c>
      <c r="K145" s="3" t="s">
        <v>79</v>
      </c>
      <c r="L145" s="3" t="s">
        <v>2140</v>
      </c>
      <c r="M145" s="3" t="s">
        <v>2141</v>
      </c>
      <c r="N145" s="3" t="s">
        <v>79</v>
      </c>
      <c r="O145" s="3" t="s">
        <v>79</v>
      </c>
      <c r="P145" s="3" t="s">
        <v>79</v>
      </c>
      <c r="Q145" s="3" t="s">
        <v>190</v>
      </c>
      <c r="R145" s="3" t="s">
        <v>79</v>
      </c>
      <c r="S145" s="3" t="s">
        <v>79</v>
      </c>
      <c r="T145" s="3" t="s">
        <v>79</v>
      </c>
      <c r="U145" s="3" t="s">
        <v>79</v>
      </c>
      <c r="V145" s="3" t="s">
        <v>79</v>
      </c>
      <c r="W145" s="3" t="s">
        <v>2142</v>
      </c>
      <c r="X145" s="3" t="s">
        <v>2143</v>
      </c>
      <c r="Y145" s="3" t="s">
        <v>2144</v>
      </c>
      <c r="Z145" s="3" t="s">
        <v>2145</v>
      </c>
      <c r="AA145" s="3" t="s">
        <v>2146</v>
      </c>
      <c r="AB145" s="3" t="s">
        <v>2147</v>
      </c>
      <c r="AC145" s="3" t="s">
        <v>2148</v>
      </c>
      <c r="AD145" s="3" t="s">
        <v>2149</v>
      </c>
      <c r="AE145" s="3" t="s">
        <v>2150</v>
      </c>
      <c r="AF145" s="3" t="s">
        <v>79</v>
      </c>
      <c r="AG145" s="3" t="s">
        <v>79</v>
      </c>
      <c r="AH145" s="3" t="s">
        <v>79</v>
      </c>
      <c r="AI145" s="3" t="s">
        <v>79</v>
      </c>
      <c r="AJ145" s="3">
        <v>66.0</v>
      </c>
      <c r="AK145" s="3">
        <v>13.0</v>
      </c>
      <c r="AL145" s="3">
        <v>16.0</v>
      </c>
      <c r="AM145" s="3" t="s">
        <v>79</v>
      </c>
      <c r="AN145" s="3" t="s">
        <v>79</v>
      </c>
      <c r="AO145" s="3" t="s">
        <v>79</v>
      </c>
      <c r="AP145" s="3" t="s">
        <v>79</v>
      </c>
      <c r="AQ145" s="3" t="s">
        <v>79</v>
      </c>
      <c r="AR145" s="3" t="s">
        <v>79</v>
      </c>
      <c r="AS145" s="3" t="s">
        <v>79</v>
      </c>
      <c r="AT145" s="3" t="s">
        <v>79</v>
      </c>
      <c r="AU145" s="3" t="s">
        <v>79</v>
      </c>
      <c r="AV145" s="3" t="s">
        <v>79</v>
      </c>
      <c r="AW145" s="3" t="s">
        <v>1239</v>
      </c>
      <c r="AX145" s="3">
        <v>2022.0</v>
      </c>
      <c r="AY145" s="3">
        <v>16.0</v>
      </c>
      <c r="AZ145" s="3">
        <v>5.0</v>
      </c>
      <c r="BA145" s="3" t="s">
        <v>79</v>
      </c>
      <c r="BB145" s="3" t="s">
        <v>79</v>
      </c>
      <c r="BC145" s="3" t="s">
        <v>79</v>
      </c>
      <c r="BD145" s="3" t="s">
        <v>79</v>
      </c>
      <c r="BE145" s="3" t="s">
        <v>79</v>
      </c>
      <c r="BF145" s="3" t="s">
        <v>79</v>
      </c>
      <c r="BG145" s="3">
        <v>165328.0</v>
      </c>
      <c r="BH145" s="3" t="s">
        <v>2151</v>
      </c>
      <c r="BI145" s="8" t="str">
        <f>HYPERLINK("http://dx.doi.org/10.1007/s11704-021-0587-2","http://dx.doi.org/10.1007/s11704-021-0587-2")</f>
        <v>http://dx.doi.org/10.1007/s11704-021-0587-2</v>
      </c>
      <c r="BJ145" s="3" t="s">
        <v>79</v>
      </c>
      <c r="BK145" s="3" t="s">
        <v>79</v>
      </c>
      <c r="BL145" s="3" t="s">
        <v>79</v>
      </c>
      <c r="BM145" s="3" t="s">
        <v>79</v>
      </c>
      <c r="BN145" s="3" t="s">
        <v>79</v>
      </c>
      <c r="BO145" s="3" t="s">
        <v>275</v>
      </c>
      <c r="BP145" s="3" t="s">
        <v>79</v>
      </c>
      <c r="BQ145" s="3" t="s">
        <v>79</v>
      </c>
      <c r="BR145" s="3" t="s">
        <v>79</v>
      </c>
      <c r="BS145" s="3" t="s">
        <v>79</v>
      </c>
      <c r="BT145" s="3" t="s">
        <v>79</v>
      </c>
      <c r="BU145" s="3" t="s">
        <v>95</v>
      </c>
      <c r="BV145" s="3" t="s">
        <v>2152</v>
      </c>
      <c r="BW145" s="3" t="str">
        <f>HYPERLINK("https%3A%2F%2Fwww.webofscience.com%2Fwos%2Fwoscc%2Ffull-record%2FWOS:000737928900005","View Full Record in Web of Science")</f>
        <v>View Full Record in Web of Science</v>
      </c>
    </row>
    <row r="146" ht="12.75" customHeight="1">
      <c r="A146" s="13"/>
      <c r="B146" s="12"/>
      <c r="C146" s="13"/>
      <c r="D146" s="13" t="s">
        <v>185</v>
      </c>
      <c r="E146" s="3" t="s">
        <v>2153</v>
      </c>
      <c r="F146" s="3" t="s">
        <v>79</v>
      </c>
      <c r="G146" s="3" t="s">
        <v>79</v>
      </c>
      <c r="H146" s="3" t="s">
        <v>79</v>
      </c>
      <c r="I146" s="3" t="s">
        <v>2154</v>
      </c>
      <c r="J146" s="3" t="s">
        <v>79</v>
      </c>
      <c r="K146" s="3" t="s">
        <v>79</v>
      </c>
      <c r="L146" s="3" t="s">
        <v>2155</v>
      </c>
      <c r="M146" s="3" t="s">
        <v>2156</v>
      </c>
      <c r="N146" s="3" t="s">
        <v>79</v>
      </c>
      <c r="O146" s="3" t="s">
        <v>79</v>
      </c>
      <c r="P146" s="3" t="s">
        <v>79</v>
      </c>
      <c r="Q146" s="3" t="s">
        <v>190</v>
      </c>
      <c r="R146" s="3" t="s">
        <v>79</v>
      </c>
      <c r="S146" s="3" t="s">
        <v>79</v>
      </c>
      <c r="T146" s="3" t="s">
        <v>79</v>
      </c>
      <c r="U146" s="3" t="s">
        <v>79</v>
      </c>
      <c r="V146" s="3" t="s">
        <v>79</v>
      </c>
      <c r="W146" s="3" t="s">
        <v>2157</v>
      </c>
      <c r="X146" s="3" t="s">
        <v>2158</v>
      </c>
      <c r="Y146" s="3" t="s">
        <v>2159</v>
      </c>
      <c r="Z146" s="3" t="s">
        <v>2160</v>
      </c>
      <c r="AA146" s="3" t="s">
        <v>2161</v>
      </c>
      <c r="AB146" s="3" t="s">
        <v>2162</v>
      </c>
      <c r="AC146" s="3" t="s">
        <v>1190</v>
      </c>
      <c r="AD146" s="3" t="s">
        <v>1427</v>
      </c>
      <c r="AE146" s="3" t="s">
        <v>1949</v>
      </c>
      <c r="AF146" s="3" t="s">
        <v>79</v>
      </c>
      <c r="AG146" s="3" t="s">
        <v>79</v>
      </c>
      <c r="AH146" s="3" t="s">
        <v>79</v>
      </c>
      <c r="AI146" s="3" t="s">
        <v>79</v>
      </c>
      <c r="AJ146" s="3">
        <v>62.0</v>
      </c>
      <c r="AK146" s="3">
        <v>59.0</v>
      </c>
      <c r="AL146" s="3">
        <v>77.0</v>
      </c>
      <c r="AM146" s="3" t="s">
        <v>79</v>
      </c>
      <c r="AN146" s="3" t="s">
        <v>79</v>
      </c>
      <c r="AO146" s="3" t="s">
        <v>79</v>
      </c>
      <c r="AP146" s="3" t="s">
        <v>79</v>
      </c>
      <c r="AQ146" s="3" t="s">
        <v>79</v>
      </c>
      <c r="AR146" s="3" t="s">
        <v>79</v>
      </c>
      <c r="AS146" s="3" t="s">
        <v>79</v>
      </c>
      <c r="AT146" s="3" t="s">
        <v>79</v>
      </c>
      <c r="AU146" s="3" t="s">
        <v>79</v>
      </c>
      <c r="AV146" s="3" t="s">
        <v>79</v>
      </c>
      <c r="AW146" s="3" t="s">
        <v>497</v>
      </c>
      <c r="AX146" s="3">
        <v>2010.0</v>
      </c>
      <c r="AY146" s="3">
        <v>121.0</v>
      </c>
      <c r="AZ146" s="3">
        <v>8.0</v>
      </c>
      <c r="BA146" s="3" t="s">
        <v>79</v>
      </c>
      <c r="BB146" s="3" t="s">
        <v>79</v>
      </c>
      <c r="BC146" s="3" t="s">
        <v>79</v>
      </c>
      <c r="BD146" s="3" t="s">
        <v>79</v>
      </c>
      <c r="BE146" s="3">
        <v>1293.0</v>
      </c>
      <c r="BF146" s="3">
        <v>1303.0</v>
      </c>
      <c r="BG146" s="3" t="s">
        <v>79</v>
      </c>
      <c r="BH146" s="3" t="s">
        <v>2163</v>
      </c>
      <c r="BI146" s="8" t="str">
        <f>HYPERLINK("http://dx.doi.org/10.1016/j.clinph.2010.02.157","http://dx.doi.org/10.1016/j.clinph.2010.02.157")</f>
        <v>http://dx.doi.org/10.1016/j.clinph.2010.02.157</v>
      </c>
      <c r="BJ146" s="3" t="s">
        <v>79</v>
      </c>
      <c r="BK146" s="3" t="s">
        <v>79</v>
      </c>
      <c r="BL146" s="3" t="s">
        <v>79</v>
      </c>
      <c r="BM146" s="3" t="s">
        <v>79</v>
      </c>
      <c r="BN146" s="3" t="s">
        <v>79</v>
      </c>
      <c r="BO146" s="3" t="s">
        <v>202</v>
      </c>
      <c r="BP146" s="3" t="s">
        <v>79</v>
      </c>
      <c r="BQ146" s="3" t="s">
        <v>79</v>
      </c>
      <c r="BR146" s="3" t="s">
        <v>79</v>
      </c>
      <c r="BS146" s="3" t="s">
        <v>79</v>
      </c>
      <c r="BT146" s="3" t="s">
        <v>79</v>
      </c>
      <c r="BU146" s="3" t="s">
        <v>95</v>
      </c>
      <c r="BV146" s="3" t="s">
        <v>2164</v>
      </c>
      <c r="BW146" s="3" t="str">
        <f>HYPERLINK("https%3A%2F%2Fwww.webofscience.com%2Fwos%2Fwoscc%2Ffull-record%2FWOS:000279068200017","View Full Record in Web of Science")</f>
        <v>View Full Record in Web of Science</v>
      </c>
    </row>
    <row r="147" ht="12.75" customHeight="1">
      <c r="A147" s="13"/>
      <c r="B147" s="12"/>
      <c r="C147" s="13"/>
      <c r="D147" s="13" t="s">
        <v>185</v>
      </c>
      <c r="E147" s="3" t="s">
        <v>2165</v>
      </c>
      <c r="F147" s="3" t="s">
        <v>79</v>
      </c>
      <c r="G147" s="3" t="s">
        <v>79</v>
      </c>
      <c r="H147" s="3" t="s">
        <v>79</v>
      </c>
      <c r="I147" s="3" t="s">
        <v>2166</v>
      </c>
      <c r="J147" s="3" t="s">
        <v>79</v>
      </c>
      <c r="K147" s="3" t="s">
        <v>79</v>
      </c>
      <c r="L147" s="3" t="s">
        <v>2167</v>
      </c>
      <c r="M147" s="3" t="s">
        <v>2168</v>
      </c>
      <c r="N147" s="3" t="s">
        <v>79</v>
      </c>
      <c r="O147" s="3" t="s">
        <v>79</v>
      </c>
      <c r="P147" s="3" t="s">
        <v>79</v>
      </c>
      <c r="Q147" s="3" t="s">
        <v>190</v>
      </c>
      <c r="R147" s="3" t="s">
        <v>79</v>
      </c>
      <c r="S147" s="3" t="s">
        <v>79</v>
      </c>
      <c r="T147" s="3" t="s">
        <v>79</v>
      </c>
      <c r="U147" s="3" t="s">
        <v>79</v>
      </c>
      <c r="V147" s="3" t="s">
        <v>79</v>
      </c>
      <c r="W147" s="3" t="s">
        <v>2169</v>
      </c>
      <c r="X147" s="3" t="s">
        <v>2170</v>
      </c>
      <c r="Y147" s="3" t="s">
        <v>2171</v>
      </c>
      <c r="Z147" s="3" t="s">
        <v>2172</v>
      </c>
      <c r="AA147" s="3" t="s">
        <v>2173</v>
      </c>
      <c r="AB147" s="3" t="s">
        <v>2174</v>
      </c>
      <c r="AC147" s="3" t="s">
        <v>2175</v>
      </c>
      <c r="AD147" s="3" t="s">
        <v>2176</v>
      </c>
      <c r="AE147" s="3" t="s">
        <v>79</v>
      </c>
      <c r="AF147" s="3" t="s">
        <v>79</v>
      </c>
      <c r="AG147" s="3" t="s">
        <v>79</v>
      </c>
      <c r="AH147" s="3" t="s">
        <v>79</v>
      </c>
      <c r="AI147" s="3" t="s">
        <v>79</v>
      </c>
      <c r="AJ147" s="3">
        <v>38.0</v>
      </c>
      <c r="AK147" s="3">
        <v>1.0</v>
      </c>
      <c r="AL147" s="3">
        <v>1.0</v>
      </c>
      <c r="AM147" s="3" t="s">
        <v>79</v>
      </c>
      <c r="AN147" s="3" t="s">
        <v>79</v>
      </c>
      <c r="AO147" s="3" t="s">
        <v>79</v>
      </c>
      <c r="AP147" s="3" t="s">
        <v>79</v>
      </c>
      <c r="AQ147" s="3" t="s">
        <v>79</v>
      </c>
      <c r="AR147" s="3" t="s">
        <v>79</v>
      </c>
      <c r="AS147" s="3" t="s">
        <v>79</v>
      </c>
      <c r="AT147" s="3" t="s">
        <v>79</v>
      </c>
      <c r="AU147" s="3" t="s">
        <v>79</v>
      </c>
      <c r="AV147" s="3" t="s">
        <v>79</v>
      </c>
      <c r="AW147" s="3" t="s">
        <v>2177</v>
      </c>
      <c r="AX147" s="3">
        <v>2024.0</v>
      </c>
      <c r="AY147" s="3">
        <v>35.0</v>
      </c>
      <c r="AZ147" s="3">
        <v>6.0</v>
      </c>
      <c r="BA147" s="3" t="s">
        <v>79</v>
      </c>
      <c r="BB147" s="3" t="s">
        <v>79</v>
      </c>
      <c r="BC147" s="3" t="s">
        <v>79</v>
      </c>
      <c r="BD147" s="3" t="s">
        <v>79</v>
      </c>
      <c r="BE147" s="3">
        <v>685.0</v>
      </c>
      <c r="BF147" s="3">
        <v>708.0</v>
      </c>
      <c r="BG147" s="3" t="s">
        <v>79</v>
      </c>
      <c r="BH147" s="3" t="s">
        <v>2178</v>
      </c>
      <c r="BI147" s="8" t="str">
        <f>HYPERLINK("http://dx.doi.org/10.1080/09544828.2024.2326396","http://dx.doi.org/10.1080/09544828.2024.2326396")</f>
        <v>http://dx.doi.org/10.1080/09544828.2024.2326396</v>
      </c>
      <c r="BJ147" s="3" t="s">
        <v>79</v>
      </c>
      <c r="BK147" s="3" t="s">
        <v>892</v>
      </c>
      <c r="BL147" s="3" t="s">
        <v>79</v>
      </c>
      <c r="BM147" s="3" t="s">
        <v>79</v>
      </c>
      <c r="BN147" s="3" t="s">
        <v>79</v>
      </c>
      <c r="BO147" s="3" t="s">
        <v>139</v>
      </c>
      <c r="BP147" s="3" t="s">
        <v>79</v>
      </c>
      <c r="BQ147" s="3" t="s">
        <v>79</v>
      </c>
      <c r="BR147" s="3" t="s">
        <v>79</v>
      </c>
      <c r="BS147" s="3" t="s">
        <v>79</v>
      </c>
      <c r="BT147" s="3" t="s">
        <v>79</v>
      </c>
      <c r="BU147" s="3" t="s">
        <v>95</v>
      </c>
      <c r="BV147" s="3" t="s">
        <v>2179</v>
      </c>
      <c r="BW147" s="3" t="str">
        <f>HYPERLINK("https%3A%2F%2Fwww.webofscience.com%2Fwos%2Fwoscc%2Ffull-record%2FWOS:001187329500001","View Full Record in Web of Science")</f>
        <v>View Full Record in Web of Science</v>
      </c>
    </row>
    <row r="148" ht="12.75" customHeight="1">
      <c r="A148" s="13"/>
      <c r="B148" s="12"/>
      <c r="C148" s="13"/>
      <c r="D148" s="13" t="s">
        <v>77</v>
      </c>
      <c r="E148" s="3" t="s">
        <v>2180</v>
      </c>
      <c r="F148" s="3" t="s">
        <v>79</v>
      </c>
      <c r="G148" s="3" t="s">
        <v>79</v>
      </c>
      <c r="H148" s="3" t="s">
        <v>80</v>
      </c>
      <c r="I148" s="3" t="s">
        <v>2181</v>
      </c>
      <c r="J148" s="3" t="s">
        <v>79</v>
      </c>
      <c r="K148" s="3" t="s">
        <v>79</v>
      </c>
      <c r="L148" s="3" t="s">
        <v>2182</v>
      </c>
      <c r="M148" s="3" t="s">
        <v>2183</v>
      </c>
      <c r="N148" s="3" t="s">
        <v>79</v>
      </c>
      <c r="O148" s="3" t="s">
        <v>79</v>
      </c>
      <c r="P148" s="3" t="s">
        <v>79</v>
      </c>
      <c r="Q148" s="3" t="s">
        <v>84</v>
      </c>
      <c r="R148" s="3" t="s">
        <v>79</v>
      </c>
      <c r="S148" s="3" t="s">
        <v>79</v>
      </c>
      <c r="T148" s="3" t="s">
        <v>79</v>
      </c>
      <c r="U148" s="3" t="s">
        <v>79</v>
      </c>
      <c r="V148" s="3" t="s">
        <v>79</v>
      </c>
      <c r="W148" s="3" t="s">
        <v>2184</v>
      </c>
      <c r="X148" s="3" t="s">
        <v>79</v>
      </c>
      <c r="Y148" s="3" t="s">
        <v>2185</v>
      </c>
      <c r="Z148" s="3" t="s">
        <v>2186</v>
      </c>
      <c r="AA148" s="3" t="s">
        <v>2187</v>
      </c>
      <c r="AB148" s="3" t="s">
        <v>2188</v>
      </c>
      <c r="AC148" s="3" t="s">
        <v>2189</v>
      </c>
      <c r="AD148" s="3" t="s">
        <v>2190</v>
      </c>
      <c r="AE148" s="3" t="s">
        <v>2191</v>
      </c>
      <c r="AF148" s="3" t="s">
        <v>79</v>
      </c>
      <c r="AG148" s="3" t="s">
        <v>79</v>
      </c>
      <c r="AH148" s="3" t="s">
        <v>79</v>
      </c>
      <c r="AI148" s="3" t="s">
        <v>79</v>
      </c>
      <c r="AJ148" s="3">
        <v>12.0</v>
      </c>
      <c r="AK148" s="3">
        <v>1.0</v>
      </c>
      <c r="AL148" s="3">
        <v>3.0</v>
      </c>
      <c r="AM148" s="3" t="s">
        <v>79</v>
      </c>
      <c r="AN148" s="3" t="s">
        <v>79</v>
      </c>
      <c r="AO148" s="3" t="s">
        <v>79</v>
      </c>
      <c r="AP148" s="3" t="s">
        <v>79</v>
      </c>
      <c r="AQ148" s="3" t="s">
        <v>79</v>
      </c>
      <c r="AR148" s="3" t="s">
        <v>79</v>
      </c>
      <c r="AS148" s="3" t="s">
        <v>79</v>
      </c>
      <c r="AT148" s="3" t="s">
        <v>79</v>
      </c>
      <c r="AU148" s="3" t="s">
        <v>79</v>
      </c>
      <c r="AV148" s="3" t="s">
        <v>79</v>
      </c>
      <c r="AW148" s="3" t="s">
        <v>79</v>
      </c>
      <c r="AX148" s="3">
        <v>2019.0</v>
      </c>
      <c r="AY148" s="3" t="s">
        <v>79</v>
      </c>
      <c r="AZ148" s="3" t="s">
        <v>79</v>
      </c>
      <c r="BA148" s="3" t="s">
        <v>79</v>
      </c>
      <c r="BB148" s="3" t="s">
        <v>79</v>
      </c>
      <c r="BC148" s="3" t="s">
        <v>79</v>
      </c>
      <c r="BD148" s="3" t="s">
        <v>79</v>
      </c>
      <c r="BE148" s="3">
        <v>422.0</v>
      </c>
      <c r="BF148" s="3">
        <v>425.0</v>
      </c>
      <c r="BG148" s="3" t="s">
        <v>79</v>
      </c>
      <c r="BH148" s="3" t="s">
        <v>2192</v>
      </c>
      <c r="BI148" s="8" t="str">
        <f>HYPERLINK("http://dx.doi.org/10.1109/icecos47637.2019.8984565","http://dx.doi.org/10.1109/icecos47637.2019.8984565")</f>
        <v>http://dx.doi.org/10.1109/icecos47637.2019.8984565</v>
      </c>
      <c r="BJ148" s="3" t="s">
        <v>79</v>
      </c>
      <c r="BK148" s="3" t="s">
        <v>79</v>
      </c>
      <c r="BL148" s="3" t="s">
        <v>79</v>
      </c>
      <c r="BM148" s="3" t="s">
        <v>79</v>
      </c>
      <c r="BN148" s="3" t="s">
        <v>79</v>
      </c>
      <c r="BO148" s="3" t="s">
        <v>152</v>
      </c>
      <c r="BP148" s="3" t="s">
        <v>79</v>
      </c>
      <c r="BQ148" s="3" t="s">
        <v>79</v>
      </c>
      <c r="BR148" s="3" t="s">
        <v>79</v>
      </c>
      <c r="BS148" s="3" t="s">
        <v>79</v>
      </c>
      <c r="BT148" s="3" t="s">
        <v>79</v>
      </c>
      <c r="BU148" s="3" t="s">
        <v>95</v>
      </c>
      <c r="BV148" s="3" t="s">
        <v>2193</v>
      </c>
      <c r="BW148" s="3" t="str">
        <f>HYPERLINK("https%3A%2F%2Fwww.webofscience.com%2Fwos%2Fwoscc%2Ffull-record%2FWOS:000542029300084","View Full Record in Web of Science")</f>
        <v>View Full Record in Web of Science</v>
      </c>
    </row>
    <row r="149" ht="12.75" customHeight="1">
      <c r="A149" s="13"/>
      <c r="B149" s="12"/>
      <c r="C149" s="13"/>
      <c r="D149" s="13" t="s">
        <v>77</v>
      </c>
      <c r="E149" s="3" t="s">
        <v>2194</v>
      </c>
      <c r="F149" s="3" t="s">
        <v>79</v>
      </c>
      <c r="G149" s="3" t="s">
        <v>2195</v>
      </c>
      <c r="H149" s="3" t="s">
        <v>79</v>
      </c>
      <c r="I149" s="3" t="s">
        <v>2196</v>
      </c>
      <c r="J149" s="3" t="s">
        <v>79</v>
      </c>
      <c r="K149" s="3" t="s">
        <v>79</v>
      </c>
      <c r="L149" s="3" t="s">
        <v>2197</v>
      </c>
      <c r="M149" s="3" t="s">
        <v>2198</v>
      </c>
      <c r="N149" s="3" t="s">
        <v>2199</v>
      </c>
      <c r="O149" s="3" t="s">
        <v>79</v>
      </c>
      <c r="P149" s="3" t="s">
        <v>79</v>
      </c>
      <c r="Q149" s="3" t="s">
        <v>84</v>
      </c>
      <c r="R149" s="3" t="s">
        <v>79</v>
      </c>
      <c r="S149" s="3" t="s">
        <v>79</v>
      </c>
      <c r="T149" s="3" t="s">
        <v>79</v>
      </c>
      <c r="U149" s="3" t="s">
        <v>79</v>
      </c>
      <c r="V149" s="3" t="s">
        <v>79</v>
      </c>
      <c r="W149" s="3" t="s">
        <v>2200</v>
      </c>
      <c r="X149" s="3" t="s">
        <v>2201</v>
      </c>
      <c r="Y149" s="3" t="s">
        <v>2202</v>
      </c>
      <c r="Z149" s="3" t="s">
        <v>2203</v>
      </c>
      <c r="AA149" s="3" t="s">
        <v>1001</v>
      </c>
      <c r="AB149" s="3" t="s">
        <v>2204</v>
      </c>
      <c r="AC149" s="3" t="s">
        <v>79</v>
      </c>
      <c r="AD149" s="3" t="s">
        <v>79</v>
      </c>
      <c r="AE149" s="3" t="s">
        <v>2205</v>
      </c>
      <c r="AF149" s="3" t="s">
        <v>79</v>
      </c>
      <c r="AG149" s="3" t="s">
        <v>79</v>
      </c>
      <c r="AH149" s="3" t="s">
        <v>79</v>
      </c>
      <c r="AI149" s="3" t="s">
        <v>79</v>
      </c>
      <c r="AJ149" s="3">
        <v>19.0</v>
      </c>
      <c r="AK149" s="3">
        <v>24.0</v>
      </c>
      <c r="AL149" s="3">
        <v>30.0</v>
      </c>
      <c r="AM149" s="3" t="s">
        <v>79</v>
      </c>
      <c r="AN149" s="3" t="s">
        <v>79</v>
      </c>
      <c r="AO149" s="3" t="s">
        <v>79</v>
      </c>
      <c r="AP149" s="3" t="s">
        <v>79</v>
      </c>
      <c r="AQ149" s="3" t="s">
        <v>79</v>
      </c>
      <c r="AR149" s="3" t="s">
        <v>79</v>
      </c>
      <c r="AS149" s="3" t="s">
        <v>79</v>
      </c>
      <c r="AT149" s="3" t="s">
        <v>79</v>
      </c>
      <c r="AU149" s="3" t="s">
        <v>79</v>
      </c>
      <c r="AV149" s="3" t="s">
        <v>79</v>
      </c>
      <c r="AW149" s="3" t="s">
        <v>79</v>
      </c>
      <c r="AX149" s="3">
        <v>2007.0</v>
      </c>
      <c r="AY149" s="3">
        <v>4881.0</v>
      </c>
      <c r="AZ149" s="3" t="s">
        <v>79</v>
      </c>
      <c r="BA149" s="3" t="s">
        <v>79</v>
      </c>
      <c r="BB149" s="3" t="s">
        <v>79</v>
      </c>
      <c r="BC149" s="3" t="s">
        <v>79</v>
      </c>
      <c r="BD149" s="3" t="s">
        <v>79</v>
      </c>
      <c r="BE149" s="3">
        <v>125.0</v>
      </c>
      <c r="BF149" s="3">
        <v>134.0</v>
      </c>
      <c r="BG149" s="3" t="s">
        <v>79</v>
      </c>
      <c r="BH149" s="3" t="s">
        <v>79</v>
      </c>
      <c r="BI149" s="3" t="s">
        <v>79</v>
      </c>
      <c r="BJ149" s="3" t="s">
        <v>79</v>
      </c>
      <c r="BK149" s="3" t="s">
        <v>79</v>
      </c>
      <c r="BL149" s="3" t="s">
        <v>79</v>
      </c>
      <c r="BM149" s="3" t="s">
        <v>79</v>
      </c>
      <c r="BN149" s="3" t="s">
        <v>79</v>
      </c>
      <c r="BO149" s="3" t="s">
        <v>275</v>
      </c>
      <c r="BP149" s="3" t="s">
        <v>79</v>
      </c>
      <c r="BQ149" s="3" t="s">
        <v>79</v>
      </c>
      <c r="BR149" s="3" t="s">
        <v>79</v>
      </c>
      <c r="BS149" s="3" t="s">
        <v>79</v>
      </c>
      <c r="BT149" s="3" t="s">
        <v>79</v>
      </c>
      <c r="BU149" s="3" t="s">
        <v>95</v>
      </c>
      <c r="BV149" s="3" t="s">
        <v>2206</v>
      </c>
      <c r="BW149" s="3" t="str">
        <f>HYPERLINK("https%3A%2F%2Fwww.webofscience.com%2Fwos%2Fwoscc%2Ffull-record%2FWOS:000252394900014","View Full Record in Web of Science")</f>
        <v>View Full Record in Web of Science</v>
      </c>
    </row>
    <row r="150" ht="12.75" customHeight="1">
      <c r="A150" s="13"/>
      <c r="B150" s="12"/>
      <c r="C150" s="13"/>
      <c r="D150" s="13" t="s">
        <v>185</v>
      </c>
      <c r="E150" s="3" t="s">
        <v>2207</v>
      </c>
      <c r="F150" s="3" t="s">
        <v>79</v>
      </c>
      <c r="G150" s="3" t="s">
        <v>79</v>
      </c>
      <c r="H150" s="3" t="s">
        <v>79</v>
      </c>
      <c r="I150" s="3" t="s">
        <v>2208</v>
      </c>
      <c r="J150" s="3" t="s">
        <v>79</v>
      </c>
      <c r="K150" s="3" t="s">
        <v>79</v>
      </c>
      <c r="L150" s="3" t="s">
        <v>2209</v>
      </c>
      <c r="M150" s="3" t="s">
        <v>2210</v>
      </c>
      <c r="N150" s="3" t="s">
        <v>79</v>
      </c>
      <c r="O150" s="3" t="s">
        <v>79</v>
      </c>
      <c r="P150" s="3" t="s">
        <v>79</v>
      </c>
      <c r="Q150" s="3" t="s">
        <v>2211</v>
      </c>
      <c r="R150" s="3" t="s">
        <v>79</v>
      </c>
      <c r="S150" s="3" t="s">
        <v>79</v>
      </c>
      <c r="T150" s="3" t="s">
        <v>79</v>
      </c>
      <c r="U150" s="3" t="s">
        <v>79</v>
      </c>
      <c r="V150" s="3" t="s">
        <v>79</v>
      </c>
      <c r="W150" s="3" t="s">
        <v>2212</v>
      </c>
      <c r="X150" s="3" t="s">
        <v>268</v>
      </c>
      <c r="Y150" s="3" t="s">
        <v>2213</v>
      </c>
      <c r="Z150" s="3" t="s">
        <v>2214</v>
      </c>
      <c r="AA150" s="3" t="s">
        <v>2215</v>
      </c>
      <c r="AB150" s="3" t="s">
        <v>2216</v>
      </c>
      <c r="AC150" s="3" t="s">
        <v>1703</v>
      </c>
      <c r="AD150" s="3" t="s">
        <v>2217</v>
      </c>
      <c r="AE150" s="3" t="s">
        <v>2218</v>
      </c>
      <c r="AF150" s="3" t="s">
        <v>79</v>
      </c>
      <c r="AG150" s="3" t="s">
        <v>79</v>
      </c>
      <c r="AH150" s="3" t="s">
        <v>79</v>
      </c>
      <c r="AI150" s="3" t="s">
        <v>79</v>
      </c>
      <c r="AJ150" s="3">
        <v>13.0</v>
      </c>
      <c r="AK150" s="3">
        <v>1.0</v>
      </c>
      <c r="AL150" s="3">
        <v>1.0</v>
      </c>
      <c r="AM150" s="3" t="s">
        <v>79</v>
      </c>
      <c r="AN150" s="3" t="s">
        <v>79</v>
      </c>
      <c r="AO150" s="3" t="s">
        <v>79</v>
      </c>
      <c r="AP150" s="3" t="s">
        <v>79</v>
      </c>
      <c r="AQ150" s="3" t="s">
        <v>79</v>
      </c>
      <c r="AR150" s="3" t="s">
        <v>79</v>
      </c>
      <c r="AS150" s="3" t="s">
        <v>79</v>
      </c>
      <c r="AT150" s="3" t="s">
        <v>79</v>
      </c>
      <c r="AU150" s="3" t="s">
        <v>79</v>
      </c>
      <c r="AV150" s="3" t="s">
        <v>79</v>
      </c>
      <c r="AW150" s="3" t="s">
        <v>79</v>
      </c>
      <c r="AX150" s="3">
        <v>2007.0</v>
      </c>
      <c r="AY150" s="3">
        <v>46.0</v>
      </c>
      <c r="AZ150" s="3">
        <v>2.0</v>
      </c>
      <c r="BA150" s="3" t="s">
        <v>79</v>
      </c>
      <c r="BB150" s="3" t="s">
        <v>79</v>
      </c>
      <c r="BC150" s="3" t="s">
        <v>79</v>
      </c>
      <c r="BD150" s="3" t="s">
        <v>79</v>
      </c>
      <c r="BE150" s="3">
        <v>155.0</v>
      </c>
      <c r="BF150" s="3">
        <v>159.0</v>
      </c>
      <c r="BG150" s="3" t="s">
        <v>79</v>
      </c>
      <c r="BH150" s="3" t="s">
        <v>2219</v>
      </c>
      <c r="BI150" s="8" t="str">
        <f>HYPERLINK("http://dx.doi.org/10.1055/s-0038-1625398","http://dx.doi.org/10.1055/s-0038-1625398")</f>
        <v>http://dx.doi.org/10.1055/s-0038-1625398</v>
      </c>
      <c r="BJ150" s="3" t="s">
        <v>79</v>
      </c>
      <c r="BK150" s="3" t="s">
        <v>79</v>
      </c>
      <c r="BL150" s="3" t="s">
        <v>79</v>
      </c>
      <c r="BM150" s="3" t="s">
        <v>79</v>
      </c>
      <c r="BN150" s="3" t="s">
        <v>79</v>
      </c>
      <c r="BO150" s="3" t="s">
        <v>2220</v>
      </c>
      <c r="BP150" s="3" t="s">
        <v>79</v>
      </c>
      <c r="BQ150" s="3" t="s">
        <v>79</v>
      </c>
      <c r="BR150" s="3" t="s">
        <v>79</v>
      </c>
      <c r="BS150" s="3" t="s">
        <v>79</v>
      </c>
      <c r="BT150" s="3" t="s">
        <v>79</v>
      </c>
      <c r="BU150" s="3" t="s">
        <v>95</v>
      </c>
      <c r="BV150" s="3" t="s">
        <v>2221</v>
      </c>
      <c r="BW150" s="3" t="str">
        <f>HYPERLINK("https%3A%2F%2Fwww.webofscience.com%2Fwos%2Fwoscc%2Ffull-record%2FWOS:000244967200014","View Full Record in Web of Science")</f>
        <v>View Full Record in Web of Science</v>
      </c>
    </row>
    <row r="151" ht="12.75" customHeight="1">
      <c r="A151" s="13"/>
      <c r="B151" s="12"/>
      <c r="C151" s="13"/>
      <c r="D151" s="13" t="s">
        <v>77</v>
      </c>
      <c r="E151" s="3" t="s">
        <v>2222</v>
      </c>
      <c r="F151" s="3" t="s">
        <v>79</v>
      </c>
      <c r="G151" s="3" t="s">
        <v>2223</v>
      </c>
      <c r="H151" s="3" t="s">
        <v>79</v>
      </c>
      <c r="I151" s="3" t="s">
        <v>2224</v>
      </c>
      <c r="J151" s="3" t="s">
        <v>79</v>
      </c>
      <c r="K151" s="3" t="s">
        <v>79</v>
      </c>
      <c r="L151" s="3" t="s">
        <v>2225</v>
      </c>
      <c r="M151" s="3" t="s">
        <v>2226</v>
      </c>
      <c r="N151" s="3" t="s">
        <v>2227</v>
      </c>
      <c r="O151" s="3" t="s">
        <v>79</v>
      </c>
      <c r="P151" s="3" t="s">
        <v>79</v>
      </c>
      <c r="Q151" s="3" t="s">
        <v>84</v>
      </c>
      <c r="R151" s="3" t="s">
        <v>79</v>
      </c>
      <c r="S151" s="3" t="s">
        <v>79</v>
      </c>
      <c r="T151" s="3" t="s">
        <v>79</v>
      </c>
      <c r="U151" s="3" t="s">
        <v>79</v>
      </c>
      <c r="V151" s="3" t="s">
        <v>79</v>
      </c>
      <c r="W151" s="3" t="s">
        <v>79</v>
      </c>
      <c r="X151" s="3" t="s">
        <v>79</v>
      </c>
      <c r="Y151" s="3" t="s">
        <v>2228</v>
      </c>
      <c r="Z151" s="3" t="s">
        <v>2229</v>
      </c>
      <c r="AA151" s="3" t="s">
        <v>2230</v>
      </c>
      <c r="AB151" s="3" t="s">
        <v>2231</v>
      </c>
      <c r="AC151" s="3" t="s">
        <v>2232</v>
      </c>
      <c r="AD151" s="3" t="s">
        <v>2233</v>
      </c>
      <c r="AE151" s="3" t="s">
        <v>79</v>
      </c>
      <c r="AF151" s="3" t="s">
        <v>79</v>
      </c>
      <c r="AG151" s="3" t="s">
        <v>79</v>
      </c>
      <c r="AH151" s="3" t="s">
        <v>79</v>
      </c>
      <c r="AI151" s="3" t="s">
        <v>79</v>
      </c>
      <c r="AJ151" s="3">
        <v>3.0</v>
      </c>
      <c r="AK151" s="3">
        <v>1.0</v>
      </c>
      <c r="AL151" s="3">
        <v>3.0</v>
      </c>
      <c r="AM151" s="3" t="s">
        <v>79</v>
      </c>
      <c r="AN151" s="3" t="s">
        <v>79</v>
      </c>
      <c r="AO151" s="3" t="s">
        <v>79</v>
      </c>
      <c r="AP151" s="3" t="s">
        <v>79</v>
      </c>
      <c r="AQ151" s="3" t="s">
        <v>79</v>
      </c>
      <c r="AR151" s="3" t="s">
        <v>79</v>
      </c>
      <c r="AS151" s="3" t="s">
        <v>79</v>
      </c>
      <c r="AT151" s="3" t="s">
        <v>79</v>
      </c>
      <c r="AU151" s="3" t="s">
        <v>79</v>
      </c>
      <c r="AV151" s="3" t="s">
        <v>79</v>
      </c>
      <c r="AW151" s="3" t="s">
        <v>79</v>
      </c>
      <c r="AX151" s="3">
        <v>2017.0</v>
      </c>
      <c r="AY151" s="3">
        <v>15.0</v>
      </c>
      <c r="AZ151" s="3" t="s">
        <v>79</v>
      </c>
      <c r="BA151" s="3" t="s">
        <v>79</v>
      </c>
      <c r="BB151" s="3" t="s">
        <v>79</v>
      </c>
      <c r="BC151" s="3" t="s">
        <v>79</v>
      </c>
      <c r="BD151" s="3" t="s">
        <v>79</v>
      </c>
      <c r="BE151" s="3">
        <v>907.0</v>
      </c>
      <c r="BF151" s="3">
        <v>911.0</v>
      </c>
      <c r="BG151" s="3" t="s">
        <v>79</v>
      </c>
      <c r="BH151" s="3" t="s">
        <v>2234</v>
      </c>
      <c r="BI151" s="8" t="str">
        <f>HYPERLINK("http://dx.doi.org/10.1007/978-3-319-46669-9_147","http://dx.doi.org/10.1007/978-3-319-46669-9_147")</f>
        <v>http://dx.doi.org/10.1007/978-3-319-46669-9_147</v>
      </c>
      <c r="BJ151" s="3" t="s">
        <v>79</v>
      </c>
      <c r="BK151" s="3" t="s">
        <v>79</v>
      </c>
      <c r="BL151" s="3" t="s">
        <v>79</v>
      </c>
      <c r="BM151" s="3" t="s">
        <v>79</v>
      </c>
      <c r="BN151" s="3" t="s">
        <v>79</v>
      </c>
      <c r="BO151" s="3" t="s">
        <v>1193</v>
      </c>
      <c r="BP151" s="3" t="s">
        <v>79</v>
      </c>
      <c r="BQ151" s="3" t="s">
        <v>79</v>
      </c>
      <c r="BR151" s="3" t="s">
        <v>79</v>
      </c>
      <c r="BS151" s="3" t="s">
        <v>79</v>
      </c>
      <c r="BT151" s="3" t="s">
        <v>79</v>
      </c>
      <c r="BU151" s="3" t="s">
        <v>95</v>
      </c>
      <c r="BV151" s="3" t="s">
        <v>2235</v>
      </c>
      <c r="BW151" s="3" t="str">
        <f>HYPERLINK("https%3A%2F%2Fwww.webofscience.com%2Fwos%2Fwoscc%2Ffull-record%2FWOS:000405220400147","View Full Record in Web of Science")</f>
        <v>View Full Record in Web of Science</v>
      </c>
    </row>
    <row r="152" ht="12.75" customHeight="1">
      <c r="A152" s="13"/>
      <c r="B152" s="12"/>
      <c r="C152" s="13"/>
      <c r="D152" s="13" t="s">
        <v>77</v>
      </c>
      <c r="E152" s="3" t="s">
        <v>2236</v>
      </c>
      <c r="F152" s="3" t="s">
        <v>79</v>
      </c>
      <c r="G152" s="3" t="s">
        <v>79</v>
      </c>
      <c r="H152" s="3" t="s">
        <v>80</v>
      </c>
      <c r="I152" s="3" t="s">
        <v>2237</v>
      </c>
      <c r="J152" s="3" t="s">
        <v>79</v>
      </c>
      <c r="K152" s="3" t="s">
        <v>79</v>
      </c>
      <c r="L152" s="3" t="s">
        <v>2238</v>
      </c>
      <c r="M152" s="3" t="s">
        <v>2239</v>
      </c>
      <c r="N152" s="3" t="s">
        <v>2240</v>
      </c>
      <c r="O152" s="3" t="s">
        <v>79</v>
      </c>
      <c r="P152" s="3" t="s">
        <v>79</v>
      </c>
      <c r="Q152" s="3" t="s">
        <v>84</v>
      </c>
      <c r="R152" s="3" t="s">
        <v>79</v>
      </c>
      <c r="S152" s="3" t="s">
        <v>79</v>
      </c>
      <c r="T152" s="3" t="s">
        <v>79</v>
      </c>
      <c r="U152" s="3" t="s">
        <v>79</v>
      </c>
      <c r="V152" s="3" t="s">
        <v>79</v>
      </c>
      <c r="W152" s="3" t="s">
        <v>79</v>
      </c>
      <c r="X152" s="3" t="s">
        <v>2241</v>
      </c>
      <c r="Y152" s="3" t="s">
        <v>2242</v>
      </c>
      <c r="Z152" s="3" t="s">
        <v>2243</v>
      </c>
      <c r="AA152" s="3" t="s">
        <v>2244</v>
      </c>
      <c r="AB152" s="3" t="s">
        <v>2245</v>
      </c>
      <c r="AC152" s="3" t="s">
        <v>2246</v>
      </c>
      <c r="AD152" s="3" t="s">
        <v>2247</v>
      </c>
      <c r="AE152" s="3" t="s">
        <v>2248</v>
      </c>
      <c r="AF152" s="3" t="s">
        <v>79</v>
      </c>
      <c r="AG152" s="3" t="s">
        <v>79</v>
      </c>
      <c r="AH152" s="3" t="s">
        <v>79</v>
      </c>
      <c r="AI152" s="3" t="s">
        <v>79</v>
      </c>
      <c r="AJ152" s="3">
        <v>17.0</v>
      </c>
      <c r="AK152" s="3">
        <v>8.0</v>
      </c>
      <c r="AL152" s="3">
        <v>11.0</v>
      </c>
      <c r="AM152" s="3" t="s">
        <v>79</v>
      </c>
      <c r="AN152" s="3" t="s">
        <v>79</v>
      </c>
      <c r="AO152" s="3" t="s">
        <v>79</v>
      </c>
      <c r="AP152" s="3" t="s">
        <v>79</v>
      </c>
      <c r="AQ152" s="3" t="s">
        <v>79</v>
      </c>
      <c r="AR152" s="3" t="s">
        <v>79</v>
      </c>
      <c r="AS152" s="3" t="s">
        <v>79</v>
      </c>
      <c r="AT152" s="3" t="s">
        <v>79</v>
      </c>
      <c r="AU152" s="3" t="s">
        <v>79</v>
      </c>
      <c r="AV152" s="3" t="s">
        <v>79</v>
      </c>
      <c r="AW152" s="3" t="s">
        <v>79</v>
      </c>
      <c r="AX152" s="3">
        <v>2018.0</v>
      </c>
      <c r="AY152" s="3" t="s">
        <v>79</v>
      </c>
      <c r="AZ152" s="3" t="s">
        <v>79</v>
      </c>
      <c r="BA152" s="3" t="s">
        <v>79</v>
      </c>
      <c r="BB152" s="3" t="s">
        <v>79</v>
      </c>
      <c r="BC152" s="3" t="s">
        <v>79</v>
      </c>
      <c r="BD152" s="3" t="s">
        <v>79</v>
      </c>
      <c r="BE152" s="3">
        <v>1923.0</v>
      </c>
      <c r="BF152" s="3">
        <v>1928.0</v>
      </c>
      <c r="BG152" s="3" t="s">
        <v>79</v>
      </c>
      <c r="BH152" s="3" t="s">
        <v>79</v>
      </c>
      <c r="BI152" s="3" t="s">
        <v>79</v>
      </c>
      <c r="BJ152" s="3" t="s">
        <v>79</v>
      </c>
      <c r="BK152" s="3" t="s">
        <v>79</v>
      </c>
      <c r="BL152" s="3" t="s">
        <v>79</v>
      </c>
      <c r="BM152" s="3" t="s">
        <v>79</v>
      </c>
      <c r="BN152" s="3" t="s">
        <v>79</v>
      </c>
      <c r="BO152" s="3" t="s">
        <v>2249</v>
      </c>
      <c r="BP152" s="3" t="s">
        <v>79</v>
      </c>
      <c r="BQ152" s="3" t="s">
        <v>79</v>
      </c>
      <c r="BR152" s="3" t="s">
        <v>79</v>
      </c>
      <c r="BS152" s="3" t="s">
        <v>79</v>
      </c>
      <c r="BT152" s="3" t="s">
        <v>79</v>
      </c>
      <c r="BU152" s="3" t="s">
        <v>95</v>
      </c>
      <c r="BV152" s="3" t="s">
        <v>2250</v>
      </c>
      <c r="BW152" s="3" t="str">
        <f>HYPERLINK("https%3A%2F%2Fwww.webofscience.com%2Fwos%2Fwoscc%2Ffull-record%2FWOS:000459847700321","View Full Record in Web of Science")</f>
        <v>View Full Record in Web of Science</v>
      </c>
    </row>
    <row r="153" ht="12.75" customHeight="1">
      <c r="A153" s="13"/>
      <c r="B153" s="12"/>
      <c r="C153" s="13"/>
      <c r="D153" s="13" t="s">
        <v>185</v>
      </c>
      <c r="E153" s="3" t="s">
        <v>2251</v>
      </c>
      <c r="F153" s="3" t="s">
        <v>79</v>
      </c>
      <c r="G153" s="3" t="s">
        <v>79</v>
      </c>
      <c r="H153" s="3" t="s">
        <v>79</v>
      </c>
      <c r="I153" s="3" t="s">
        <v>2252</v>
      </c>
      <c r="J153" s="3" t="s">
        <v>79</v>
      </c>
      <c r="K153" s="3" t="s">
        <v>79</v>
      </c>
      <c r="L153" s="3" t="s">
        <v>2253</v>
      </c>
      <c r="M153" s="3" t="s">
        <v>234</v>
      </c>
      <c r="N153" s="3" t="s">
        <v>79</v>
      </c>
      <c r="O153" s="3" t="s">
        <v>79</v>
      </c>
      <c r="P153" s="3" t="s">
        <v>79</v>
      </c>
      <c r="Q153" s="3" t="s">
        <v>1202</v>
      </c>
      <c r="R153" s="3" t="s">
        <v>79</v>
      </c>
      <c r="S153" s="3" t="s">
        <v>79</v>
      </c>
      <c r="T153" s="3" t="s">
        <v>79</v>
      </c>
      <c r="U153" s="3" t="s">
        <v>79</v>
      </c>
      <c r="V153" s="3" t="s">
        <v>79</v>
      </c>
      <c r="W153" s="3" t="s">
        <v>2254</v>
      </c>
      <c r="X153" s="3" t="s">
        <v>2255</v>
      </c>
      <c r="Y153" s="3" t="s">
        <v>2256</v>
      </c>
      <c r="Z153" s="3" t="s">
        <v>2257</v>
      </c>
      <c r="AA153" s="3" t="s">
        <v>2258</v>
      </c>
      <c r="AB153" s="3" t="s">
        <v>2259</v>
      </c>
      <c r="AC153" s="3" t="s">
        <v>2260</v>
      </c>
      <c r="AD153" s="3" t="s">
        <v>2261</v>
      </c>
      <c r="AE153" s="3" t="s">
        <v>2262</v>
      </c>
      <c r="AF153" s="3" t="s">
        <v>79</v>
      </c>
      <c r="AG153" s="3" t="s">
        <v>79</v>
      </c>
      <c r="AH153" s="3" t="s">
        <v>79</v>
      </c>
      <c r="AI153" s="3" t="s">
        <v>79</v>
      </c>
      <c r="AJ153" s="3">
        <v>110.0</v>
      </c>
      <c r="AK153" s="3">
        <v>69.0</v>
      </c>
      <c r="AL153" s="3">
        <v>76.0</v>
      </c>
      <c r="AM153" s="3" t="s">
        <v>79</v>
      </c>
      <c r="AN153" s="3" t="s">
        <v>79</v>
      </c>
      <c r="AO153" s="3" t="s">
        <v>79</v>
      </c>
      <c r="AP153" s="3" t="s">
        <v>79</v>
      </c>
      <c r="AQ153" s="3" t="s">
        <v>79</v>
      </c>
      <c r="AR153" s="3" t="s">
        <v>79</v>
      </c>
      <c r="AS153" s="3" t="s">
        <v>79</v>
      </c>
      <c r="AT153" s="3" t="s">
        <v>79</v>
      </c>
      <c r="AU153" s="3" t="s">
        <v>79</v>
      </c>
      <c r="AV153" s="3" t="s">
        <v>79</v>
      </c>
      <c r="AW153" s="3" t="s">
        <v>2263</v>
      </c>
      <c r="AX153" s="3">
        <v>2021.0</v>
      </c>
      <c r="AY153" s="3">
        <v>21.0</v>
      </c>
      <c r="AZ153" s="3">
        <v>18.0</v>
      </c>
      <c r="BA153" s="3" t="s">
        <v>79</v>
      </c>
      <c r="BB153" s="3" t="s">
        <v>79</v>
      </c>
      <c r="BC153" s="3" t="s">
        <v>79</v>
      </c>
      <c r="BD153" s="3" t="s">
        <v>79</v>
      </c>
      <c r="BE153" s="3" t="s">
        <v>79</v>
      </c>
      <c r="BF153" s="3" t="s">
        <v>79</v>
      </c>
      <c r="BG153" s="3">
        <v>6285.0</v>
      </c>
      <c r="BH153" s="3" t="s">
        <v>2264</v>
      </c>
      <c r="BI153" s="8" t="str">
        <f>HYPERLINK("http://dx.doi.org/10.3390/s21186285","http://dx.doi.org/10.3390/s21186285")</f>
        <v>http://dx.doi.org/10.3390/s21186285</v>
      </c>
      <c r="BJ153" s="3" t="s">
        <v>79</v>
      </c>
      <c r="BK153" s="3" t="s">
        <v>79</v>
      </c>
      <c r="BL153" s="3" t="s">
        <v>79</v>
      </c>
      <c r="BM153" s="3" t="s">
        <v>79</v>
      </c>
      <c r="BN153" s="3" t="s">
        <v>79</v>
      </c>
      <c r="BO153" s="3" t="s">
        <v>246</v>
      </c>
      <c r="BP153" s="3" t="s">
        <v>79</v>
      </c>
      <c r="BQ153" s="3" t="s">
        <v>79</v>
      </c>
      <c r="BR153" s="3" t="s">
        <v>79</v>
      </c>
      <c r="BS153" s="3" t="s">
        <v>79</v>
      </c>
      <c r="BT153" s="3" t="s">
        <v>79</v>
      </c>
      <c r="BU153" s="3" t="s">
        <v>95</v>
      </c>
      <c r="BV153" s="3" t="s">
        <v>2265</v>
      </c>
      <c r="BW153" s="3" t="str">
        <f>HYPERLINK("https%3A%2F%2Fwww.webofscience.com%2Fwos%2Fwoscc%2Ffull-record%2FWOS:000701081500001","View Full Record in Web of Science")</f>
        <v>View Full Record in Web of Science</v>
      </c>
    </row>
    <row r="154" ht="12.75" customHeight="1">
      <c r="A154" s="13"/>
      <c r="B154" s="12"/>
      <c r="C154" s="13"/>
      <c r="D154" s="13" t="s">
        <v>185</v>
      </c>
      <c r="E154" s="3" t="s">
        <v>2266</v>
      </c>
      <c r="F154" s="3" t="s">
        <v>79</v>
      </c>
      <c r="G154" s="3" t="s">
        <v>79</v>
      </c>
      <c r="H154" s="3" t="s">
        <v>79</v>
      </c>
      <c r="I154" s="3" t="s">
        <v>2267</v>
      </c>
      <c r="J154" s="3" t="s">
        <v>79</v>
      </c>
      <c r="K154" s="3" t="s">
        <v>79</v>
      </c>
      <c r="L154" s="3" t="s">
        <v>2268</v>
      </c>
      <c r="M154" s="3" t="s">
        <v>2156</v>
      </c>
      <c r="N154" s="3" t="s">
        <v>79</v>
      </c>
      <c r="O154" s="3" t="s">
        <v>79</v>
      </c>
      <c r="P154" s="3" t="s">
        <v>79</v>
      </c>
      <c r="Q154" s="3" t="s">
        <v>190</v>
      </c>
      <c r="R154" s="3" t="s">
        <v>79</v>
      </c>
      <c r="S154" s="3" t="s">
        <v>79</v>
      </c>
      <c r="T154" s="3" t="s">
        <v>79</v>
      </c>
      <c r="U154" s="3" t="s">
        <v>79</v>
      </c>
      <c r="V154" s="3" t="s">
        <v>79</v>
      </c>
      <c r="W154" s="3" t="s">
        <v>2269</v>
      </c>
      <c r="X154" s="3" t="s">
        <v>2270</v>
      </c>
      <c r="Y154" s="3" t="s">
        <v>2271</v>
      </c>
      <c r="Z154" s="3" t="s">
        <v>2272</v>
      </c>
      <c r="AA154" s="3" t="s">
        <v>1207</v>
      </c>
      <c r="AB154" s="3" t="s">
        <v>2273</v>
      </c>
      <c r="AC154" s="3" t="s">
        <v>1209</v>
      </c>
      <c r="AD154" s="3" t="s">
        <v>79</v>
      </c>
      <c r="AE154" s="3" t="s">
        <v>2274</v>
      </c>
      <c r="AF154" s="3" t="s">
        <v>79</v>
      </c>
      <c r="AG154" s="3" t="s">
        <v>79</v>
      </c>
      <c r="AH154" s="3" t="s">
        <v>79</v>
      </c>
      <c r="AI154" s="3" t="s">
        <v>79</v>
      </c>
      <c r="AJ154" s="3">
        <v>48.0</v>
      </c>
      <c r="AK154" s="3">
        <v>306.0</v>
      </c>
      <c r="AL154" s="3">
        <v>348.0</v>
      </c>
      <c r="AM154" s="3" t="s">
        <v>79</v>
      </c>
      <c r="AN154" s="3" t="s">
        <v>79</v>
      </c>
      <c r="AO154" s="3" t="s">
        <v>79</v>
      </c>
      <c r="AP154" s="3" t="s">
        <v>79</v>
      </c>
      <c r="AQ154" s="3" t="s">
        <v>79</v>
      </c>
      <c r="AR154" s="3" t="s">
        <v>79</v>
      </c>
      <c r="AS154" s="3" t="s">
        <v>79</v>
      </c>
      <c r="AT154" s="3" t="s">
        <v>79</v>
      </c>
      <c r="AU154" s="3" t="s">
        <v>79</v>
      </c>
      <c r="AV154" s="3" t="s">
        <v>79</v>
      </c>
      <c r="AW154" s="3" t="s">
        <v>785</v>
      </c>
      <c r="AX154" s="3">
        <v>2009.0</v>
      </c>
      <c r="AY154" s="3">
        <v>120.0</v>
      </c>
      <c r="AZ154" s="3">
        <v>2.0</v>
      </c>
      <c r="BA154" s="3" t="s">
        <v>79</v>
      </c>
      <c r="BB154" s="3" t="s">
        <v>79</v>
      </c>
      <c r="BC154" s="3" t="s">
        <v>79</v>
      </c>
      <c r="BD154" s="3" t="s">
        <v>79</v>
      </c>
      <c r="BE154" s="3">
        <v>239.0</v>
      </c>
      <c r="BF154" s="3">
        <v>247.0</v>
      </c>
      <c r="BG154" s="3" t="s">
        <v>79</v>
      </c>
      <c r="BH154" s="3" t="s">
        <v>2275</v>
      </c>
      <c r="BI154" s="8" t="str">
        <f>HYPERLINK("http://dx.doi.org/10.1016/j.clinph.2008.11.015","http://dx.doi.org/10.1016/j.clinph.2008.11.015")</f>
        <v>http://dx.doi.org/10.1016/j.clinph.2008.11.015</v>
      </c>
      <c r="BJ154" s="3" t="s">
        <v>79</v>
      </c>
      <c r="BK154" s="3" t="s">
        <v>79</v>
      </c>
      <c r="BL154" s="3" t="s">
        <v>79</v>
      </c>
      <c r="BM154" s="3" t="s">
        <v>79</v>
      </c>
      <c r="BN154" s="3" t="s">
        <v>79</v>
      </c>
      <c r="BO154" s="3" t="s">
        <v>202</v>
      </c>
      <c r="BP154" s="3" t="s">
        <v>79</v>
      </c>
      <c r="BQ154" s="3" t="s">
        <v>79</v>
      </c>
      <c r="BR154" s="3" t="s">
        <v>79</v>
      </c>
      <c r="BS154" s="3" t="s">
        <v>79</v>
      </c>
      <c r="BT154" s="3" t="s">
        <v>79</v>
      </c>
      <c r="BU154" s="3" t="s">
        <v>95</v>
      </c>
      <c r="BV154" s="3" t="s">
        <v>2276</v>
      </c>
      <c r="BW154" s="3" t="str">
        <f>HYPERLINK("https%3A%2F%2Fwww.webofscience.com%2Fwos%2Fwoscc%2Ffull-record%2FWOS:000264040100004","View Full Record in Web of Science")</f>
        <v>View Full Record in Web of Science</v>
      </c>
    </row>
    <row r="155" ht="12.75" customHeight="1">
      <c r="A155" s="13"/>
      <c r="B155" s="12"/>
      <c r="C155" s="13"/>
      <c r="D155" s="13" t="s">
        <v>77</v>
      </c>
      <c r="E155" s="3" t="s">
        <v>2277</v>
      </c>
      <c r="F155" s="3" t="s">
        <v>79</v>
      </c>
      <c r="G155" s="3" t="s">
        <v>79</v>
      </c>
      <c r="H155" s="3" t="s">
        <v>80</v>
      </c>
      <c r="I155" s="3" t="s">
        <v>2278</v>
      </c>
      <c r="J155" s="3" t="s">
        <v>79</v>
      </c>
      <c r="K155" s="3" t="s">
        <v>79</v>
      </c>
      <c r="L155" s="3" t="s">
        <v>2279</v>
      </c>
      <c r="M155" s="3" t="s">
        <v>2280</v>
      </c>
      <c r="N155" s="3" t="s">
        <v>2281</v>
      </c>
      <c r="O155" s="3" t="s">
        <v>79</v>
      </c>
      <c r="P155" s="3" t="s">
        <v>79</v>
      </c>
      <c r="Q155" s="3" t="s">
        <v>84</v>
      </c>
      <c r="R155" s="3" t="s">
        <v>79</v>
      </c>
      <c r="S155" s="3" t="s">
        <v>79</v>
      </c>
      <c r="T155" s="3" t="s">
        <v>79</v>
      </c>
      <c r="U155" s="3" t="s">
        <v>79</v>
      </c>
      <c r="V155" s="3" t="s">
        <v>79</v>
      </c>
      <c r="W155" s="3" t="s">
        <v>2282</v>
      </c>
      <c r="X155" s="3" t="s">
        <v>2283</v>
      </c>
      <c r="Y155" s="3" t="s">
        <v>2284</v>
      </c>
      <c r="Z155" s="3" t="s">
        <v>2285</v>
      </c>
      <c r="AA155" s="3" t="s">
        <v>2286</v>
      </c>
      <c r="AB155" s="3" t="s">
        <v>2287</v>
      </c>
      <c r="AC155" s="3" t="s">
        <v>2288</v>
      </c>
      <c r="AD155" s="3" t="s">
        <v>2289</v>
      </c>
      <c r="AE155" s="3" t="s">
        <v>2290</v>
      </c>
      <c r="AF155" s="3" t="s">
        <v>79</v>
      </c>
      <c r="AG155" s="3" t="s">
        <v>79</v>
      </c>
      <c r="AH155" s="3" t="s">
        <v>79</v>
      </c>
      <c r="AI155" s="3" t="s">
        <v>79</v>
      </c>
      <c r="AJ155" s="3">
        <v>18.0</v>
      </c>
      <c r="AK155" s="3">
        <v>8.0</v>
      </c>
      <c r="AL155" s="3">
        <v>8.0</v>
      </c>
      <c r="AM155" s="3" t="s">
        <v>79</v>
      </c>
      <c r="AN155" s="3" t="s">
        <v>79</v>
      </c>
      <c r="AO155" s="3" t="s">
        <v>79</v>
      </c>
      <c r="AP155" s="3" t="s">
        <v>79</v>
      </c>
      <c r="AQ155" s="3" t="s">
        <v>79</v>
      </c>
      <c r="AR155" s="3" t="s">
        <v>79</v>
      </c>
      <c r="AS155" s="3" t="s">
        <v>79</v>
      </c>
      <c r="AT155" s="3" t="s">
        <v>79</v>
      </c>
      <c r="AU155" s="3" t="s">
        <v>79</v>
      </c>
      <c r="AV155" s="3" t="s">
        <v>79</v>
      </c>
      <c r="AW155" s="3" t="s">
        <v>79</v>
      </c>
      <c r="AX155" s="3">
        <v>2014.0</v>
      </c>
      <c r="AY155" s="3" t="s">
        <v>79</v>
      </c>
      <c r="AZ155" s="3" t="s">
        <v>79</v>
      </c>
      <c r="BA155" s="3" t="s">
        <v>79</v>
      </c>
      <c r="BB155" s="3" t="s">
        <v>79</v>
      </c>
      <c r="BC155" s="3" t="s">
        <v>79</v>
      </c>
      <c r="BD155" s="3" t="s">
        <v>79</v>
      </c>
      <c r="BE155" s="3">
        <v>140.0</v>
      </c>
      <c r="BF155" s="3">
        <v>143.0</v>
      </c>
      <c r="BG155" s="3" t="s">
        <v>79</v>
      </c>
      <c r="BH155" s="3" t="s">
        <v>79</v>
      </c>
      <c r="BI155" s="3" t="s">
        <v>79</v>
      </c>
      <c r="BJ155" s="3" t="s">
        <v>79</v>
      </c>
      <c r="BK155" s="3" t="s">
        <v>79</v>
      </c>
      <c r="BL155" s="3" t="s">
        <v>79</v>
      </c>
      <c r="BM155" s="3" t="s">
        <v>79</v>
      </c>
      <c r="BN155" s="3" t="s">
        <v>79</v>
      </c>
      <c r="BO155" s="3" t="s">
        <v>2291</v>
      </c>
      <c r="BP155" s="3" t="s">
        <v>79</v>
      </c>
      <c r="BQ155" s="3" t="s">
        <v>79</v>
      </c>
      <c r="BR155" s="3" t="s">
        <v>79</v>
      </c>
      <c r="BS155" s="3" t="s">
        <v>79</v>
      </c>
      <c r="BT155" s="3" t="s">
        <v>79</v>
      </c>
      <c r="BU155" s="3" t="s">
        <v>95</v>
      </c>
      <c r="BV155" s="3" t="s">
        <v>2292</v>
      </c>
      <c r="BW155" s="3" t="str">
        <f>HYPERLINK("https%3A%2F%2Fwww.webofscience.com%2Fwos%2Fwoscc%2Ffull-record%2FWOS:000398529400036","View Full Record in Web of Science")</f>
        <v>View Full Record in Web of Science</v>
      </c>
    </row>
    <row r="156" ht="12.75" customHeight="1">
      <c r="A156" s="13"/>
      <c r="B156" s="12"/>
      <c r="C156" s="13"/>
      <c r="D156" s="13" t="s">
        <v>77</v>
      </c>
      <c r="E156" s="3" t="s">
        <v>2293</v>
      </c>
      <c r="F156" s="3" t="s">
        <v>79</v>
      </c>
      <c r="G156" s="3" t="s">
        <v>79</v>
      </c>
      <c r="H156" s="3" t="s">
        <v>2294</v>
      </c>
      <c r="I156" s="3" t="s">
        <v>2295</v>
      </c>
      <c r="J156" s="3" t="s">
        <v>79</v>
      </c>
      <c r="K156" s="3" t="s">
        <v>79</v>
      </c>
      <c r="L156" s="3" t="s">
        <v>2296</v>
      </c>
      <c r="M156" s="3" t="s">
        <v>2297</v>
      </c>
      <c r="N156" s="3" t="s">
        <v>2298</v>
      </c>
      <c r="O156" s="3" t="s">
        <v>79</v>
      </c>
      <c r="P156" s="3" t="s">
        <v>79</v>
      </c>
      <c r="Q156" s="3" t="s">
        <v>84</v>
      </c>
      <c r="R156" s="3" t="s">
        <v>79</v>
      </c>
      <c r="S156" s="3" t="s">
        <v>79</v>
      </c>
      <c r="T156" s="3" t="s">
        <v>79</v>
      </c>
      <c r="U156" s="3" t="s">
        <v>79</v>
      </c>
      <c r="V156" s="3" t="s">
        <v>79</v>
      </c>
      <c r="W156" s="3" t="s">
        <v>2299</v>
      </c>
      <c r="X156" s="3" t="s">
        <v>79</v>
      </c>
      <c r="Y156" s="3" t="s">
        <v>2300</v>
      </c>
      <c r="Z156" s="3" t="s">
        <v>2301</v>
      </c>
      <c r="AA156" s="3" t="s">
        <v>1466</v>
      </c>
      <c r="AB156" s="3" t="s">
        <v>1467</v>
      </c>
      <c r="AC156" s="3" t="s">
        <v>2302</v>
      </c>
      <c r="AD156" s="3" t="s">
        <v>1469</v>
      </c>
      <c r="AE156" s="3" t="s">
        <v>79</v>
      </c>
      <c r="AF156" s="3" t="s">
        <v>79</v>
      </c>
      <c r="AG156" s="3" t="s">
        <v>79</v>
      </c>
      <c r="AH156" s="3" t="s">
        <v>79</v>
      </c>
      <c r="AI156" s="3" t="s">
        <v>79</v>
      </c>
      <c r="AJ156" s="3">
        <v>6.0</v>
      </c>
      <c r="AK156" s="3">
        <v>1.0</v>
      </c>
      <c r="AL156" s="3">
        <v>1.0</v>
      </c>
      <c r="AM156" s="3" t="s">
        <v>79</v>
      </c>
      <c r="AN156" s="3" t="s">
        <v>79</v>
      </c>
      <c r="AO156" s="3" t="s">
        <v>79</v>
      </c>
      <c r="AP156" s="3" t="s">
        <v>79</v>
      </c>
      <c r="AQ156" s="3" t="s">
        <v>79</v>
      </c>
      <c r="AR156" s="3" t="s">
        <v>79</v>
      </c>
      <c r="AS156" s="3" t="s">
        <v>79</v>
      </c>
      <c r="AT156" s="3" t="s">
        <v>79</v>
      </c>
      <c r="AU156" s="3" t="s">
        <v>79</v>
      </c>
      <c r="AV156" s="3" t="s">
        <v>79</v>
      </c>
      <c r="AW156" s="3" t="s">
        <v>79</v>
      </c>
      <c r="AX156" s="3">
        <v>2024.0</v>
      </c>
      <c r="AY156" s="3" t="s">
        <v>79</v>
      </c>
      <c r="AZ156" s="3" t="s">
        <v>79</v>
      </c>
      <c r="BA156" s="3" t="s">
        <v>79</v>
      </c>
      <c r="BB156" s="3" t="s">
        <v>79</v>
      </c>
      <c r="BC156" s="3" t="s">
        <v>79</v>
      </c>
      <c r="BD156" s="3" t="s">
        <v>79</v>
      </c>
      <c r="BE156" s="3">
        <v>189.0</v>
      </c>
      <c r="BF156" s="3">
        <v>190.0</v>
      </c>
      <c r="BG156" s="3" t="s">
        <v>79</v>
      </c>
      <c r="BH156" s="3" t="s">
        <v>2303</v>
      </c>
      <c r="BI156" s="8" t="str">
        <f>HYPERLINK("http://dx.doi.org/10.1109/CHASE60773.2024.00033","http://dx.doi.org/10.1109/CHASE60773.2024.00033")</f>
        <v>http://dx.doi.org/10.1109/CHASE60773.2024.00033</v>
      </c>
      <c r="BJ156" s="3" t="s">
        <v>79</v>
      </c>
      <c r="BK156" s="3" t="s">
        <v>79</v>
      </c>
      <c r="BL156" s="3" t="s">
        <v>79</v>
      </c>
      <c r="BM156" s="3" t="s">
        <v>79</v>
      </c>
      <c r="BN156" s="3" t="s">
        <v>79</v>
      </c>
      <c r="BO156" s="3" t="s">
        <v>2304</v>
      </c>
      <c r="BP156" s="3" t="s">
        <v>79</v>
      </c>
      <c r="BQ156" s="3" t="s">
        <v>79</v>
      </c>
      <c r="BR156" s="3" t="s">
        <v>79</v>
      </c>
      <c r="BS156" s="3" t="s">
        <v>79</v>
      </c>
      <c r="BT156" s="3" t="s">
        <v>79</v>
      </c>
      <c r="BU156" s="3" t="s">
        <v>95</v>
      </c>
      <c r="BV156" s="3" t="s">
        <v>2305</v>
      </c>
      <c r="BW156" s="3" t="str">
        <f>HYPERLINK("https%3A%2F%2Fwww.webofscience.com%2Fwos%2Fwoscc%2Ffull-record%2FWOS:001294471900023","View Full Record in Web of Science")</f>
        <v>View Full Record in Web of Science</v>
      </c>
    </row>
    <row r="157" ht="12.75" customHeight="1">
      <c r="A157" s="13"/>
      <c r="B157" s="12"/>
      <c r="C157" s="13"/>
      <c r="D157" s="13" t="s">
        <v>77</v>
      </c>
      <c r="E157" s="3" t="s">
        <v>2306</v>
      </c>
      <c r="F157" s="3" t="s">
        <v>79</v>
      </c>
      <c r="G157" s="3" t="s">
        <v>2307</v>
      </c>
      <c r="H157" s="3" t="s">
        <v>79</v>
      </c>
      <c r="I157" s="3" t="s">
        <v>2308</v>
      </c>
      <c r="J157" s="3" t="s">
        <v>79</v>
      </c>
      <c r="K157" s="3" t="s">
        <v>79</v>
      </c>
      <c r="L157" s="3" t="s">
        <v>2309</v>
      </c>
      <c r="M157" s="3" t="s">
        <v>2310</v>
      </c>
      <c r="N157" s="3" t="s">
        <v>79</v>
      </c>
      <c r="O157" s="3" t="s">
        <v>79</v>
      </c>
      <c r="P157" s="3" t="s">
        <v>79</v>
      </c>
      <c r="Q157" s="3" t="s">
        <v>84</v>
      </c>
      <c r="R157" s="3" t="s">
        <v>79</v>
      </c>
      <c r="S157" s="3" t="s">
        <v>79</v>
      </c>
      <c r="T157" s="3" t="s">
        <v>79</v>
      </c>
      <c r="U157" s="3" t="s">
        <v>79</v>
      </c>
      <c r="V157" s="3" t="s">
        <v>79</v>
      </c>
      <c r="W157" s="3" t="s">
        <v>2311</v>
      </c>
      <c r="X157" s="3" t="s">
        <v>79</v>
      </c>
      <c r="Y157" s="3" t="s">
        <v>2312</v>
      </c>
      <c r="Z157" s="3" t="s">
        <v>2313</v>
      </c>
      <c r="AA157" s="3" t="s">
        <v>79</v>
      </c>
      <c r="AB157" s="3" t="s">
        <v>2314</v>
      </c>
      <c r="AC157" s="3" t="s">
        <v>2315</v>
      </c>
      <c r="AD157" s="3" t="s">
        <v>79</v>
      </c>
      <c r="AE157" s="3" t="s">
        <v>79</v>
      </c>
      <c r="AF157" s="3" t="s">
        <v>79</v>
      </c>
      <c r="AG157" s="3" t="s">
        <v>79</v>
      </c>
      <c r="AH157" s="3" t="s">
        <v>79</v>
      </c>
      <c r="AI157" s="3" t="s">
        <v>79</v>
      </c>
      <c r="AJ157" s="3">
        <v>16.0</v>
      </c>
      <c r="AK157" s="3">
        <v>5.0</v>
      </c>
      <c r="AL157" s="3">
        <v>5.0</v>
      </c>
      <c r="AM157" s="3" t="s">
        <v>79</v>
      </c>
      <c r="AN157" s="3" t="s">
        <v>79</v>
      </c>
      <c r="AO157" s="3" t="s">
        <v>79</v>
      </c>
      <c r="AP157" s="3" t="s">
        <v>79</v>
      </c>
      <c r="AQ157" s="3" t="s">
        <v>79</v>
      </c>
      <c r="AR157" s="3" t="s">
        <v>79</v>
      </c>
      <c r="AS157" s="3" t="s">
        <v>79</v>
      </c>
      <c r="AT157" s="3" t="s">
        <v>79</v>
      </c>
      <c r="AU157" s="3" t="s">
        <v>79</v>
      </c>
      <c r="AV157" s="3" t="s">
        <v>79</v>
      </c>
      <c r="AW157" s="3" t="s">
        <v>79</v>
      </c>
      <c r="AX157" s="3">
        <v>2009.0</v>
      </c>
      <c r="AY157" s="3" t="s">
        <v>79</v>
      </c>
      <c r="AZ157" s="3" t="s">
        <v>79</v>
      </c>
      <c r="BA157" s="3" t="s">
        <v>79</v>
      </c>
      <c r="BB157" s="3" t="s">
        <v>79</v>
      </c>
      <c r="BC157" s="3" t="s">
        <v>79</v>
      </c>
      <c r="BD157" s="3" t="s">
        <v>79</v>
      </c>
      <c r="BE157" s="3">
        <v>424.0</v>
      </c>
      <c r="BF157" s="3">
        <v>428.0</v>
      </c>
      <c r="BG157" s="3" t="s">
        <v>79</v>
      </c>
      <c r="BH157" s="3" t="s">
        <v>2316</v>
      </c>
      <c r="BI157" s="8" t="str">
        <f>HYPERLINK("http://dx.doi.org/10.1109/APCIP.2009.111","http://dx.doi.org/10.1109/APCIP.2009.111")</f>
        <v>http://dx.doi.org/10.1109/APCIP.2009.111</v>
      </c>
      <c r="BJ157" s="3" t="s">
        <v>79</v>
      </c>
      <c r="BK157" s="3" t="s">
        <v>79</v>
      </c>
      <c r="BL157" s="3" t="s">
        <v>79</v>
      </c>
      <c r="BM157" s="3" t="s">
        <v>79</v>
      </c>
      <c r="BN157" s="3" t="s">
        <v>79</v>
      </c>
      <c r="BO157" s="3" t="s">
        <v>275</v>
      </c>
      <c r="BP157" s="3" t="s">
        <v>79</v>
      </c>
      <c r="BQ157" s="3" t="s">
        <v>79</v>
      </c>
      <c r="BR157" s="3" t="s">
        <v>79</v>
      </c>
      <c r="BS157" s="3" t="s">
        <v>79</v>
      </c>
      <c r="BT157" s="3" t="s">
        <v>79</v>
      </c>
      <c r="BU157" s="3" t="s">
        <v>95</v>
      </c>
      <c r="BV157" s="3" t="s">
        <v>2317</v>
      </c>
      <c r="BW157" s="3" t="str">
        <f>HYPERLINK("https%3A%2F%2Fwww.webofscience.com%2Fwos%2Fwoscc%2Ffull-record%2FWOS:000274982200106","View Full Record in Web of Science")</f>
        <v>View Full Record in Web of Science</v>
      </c>
    </row>
    <row r="158" ht="12.75" customHeight="1">
      <c r="A158" s="13"/>
      <c r="B158" s="12"/>
      <c r="C158" s="13"/>
      <c r="D158" s="13" t="s">
        <v>77</v>
      </c>
      <c r="E158" s="3" t="s">
        <v>2318</v>
      </c>
      <c r="F158" s="3" t="s">
        <v>79</v>
      </c>
      <c r="G158" s="3" t="s">
        <v>79</v>
      </c>
      <c r="H158" s="3" t="s">
        <v>2319</v>
      </c>
      <c r="I158" s="3" t="s">
        <v>2318</v>
      </c>
      <c r="J158" s="3" t="s">
        <v>79</v>
      </c>
      <c r="K158" s="3" t="s">
        <v>79</v>
      </c>
      <c r="L158" s="3" t="s">
        <v>2320</v>
      </c>
      <c r="M158" s="3" t="s">
        <v>2321</v>
      </c>
      <c r="N158" s="3" t="s">
        <v>2322</v>
      </c>
      <c r="O158" s="3" t="s">
        <v>79</v>
      </c>
      <c r="P158" s="3" t="s">
        <v>79</v>
      </c>
      <c r="Q158" s="3" t="s">
        <v>84</v>
      </c>
      <c r="R158" s="3" t="s">
        <v>79</v>
      </c>
      <c r="S158" s="3" t="s">
        <v>79</v>
      </c>
      <c r="T158" s="3" t="s">
        <v>79</v>
      </c>
      <c r="U158" s="3" t="s">
        <v>79</v>
      </c>
      <c r="V158" s="3" t="s">
        <v>79</v>
      </c>
      <c r="W158" s="3" t="s">
        <v>2323</v>
      </c>
      <c r="X158" s="3" t="s">
        <v>2324</v>
      </c>
      <c r="Y158" s="3" t="s">
        <v>2325</v>
      </c>
      <c r="Z158" s="3" t="s">
        <v>2326</v>
      </c>
      <c r="AA158" s="3" t="s">
        <v>2327</v>
      </c>
      <c r="AB158" s="3" t="s">
        <v>2328</v>
      </c>
      <c r="AC158" s="3" t="s">
        <v>79</v>
      </c>
      <c r="AD158" s="3" t="s">
        <v>2329</v>
      </c>
      <c r="AE158" s="3" t="s">
        <v>2330</v>
      </c>
      <c r="AF158" s="3" t="s">
        <v>79</v>
      </c>
      <c r="AG158" s="3" t="s">
        <v>79</v>
      </c>
      <c r="AH158" s="3" t="s">
        <v>79</v>
      </c>
      <c r="AI158" s="3" t="s">
        <v>79</v>
      </c>
      <c r="AJ158" s="3">
        <v>8.0</v>
      </c>
      <c r="AK158" s="3">
        <v>16.0</v>
      </c>
      <c r="AL158" s="3">
        <v>17.0</v>
      </c>
      <c r="AM158" s="3" t="s">
        <v>79</v>
      </c>
      <c r="AN158" s="3" t="s">
        <v>79</v>
      </c>
      <c r="AO158" s="3" t="s">
        <v>79</v>
      </c>
      <c r="AP158" s="3" t="s">
        <v>79</v>
      </c>
      <c r="AQ158" s="3" t="s">
        <v>79</v>
      </c>
      <c r="AR158" s="3" t="s">
        <v>79</v>
      </c>
      <c r="AS158" s="3" t="s">
        <v>79</v>
      </c>
      <c r="AT158" s="3" t="s">
        <v>79</v>
      </c>
      <c r="AU158" s="3" t="s">
        <v>79</v>
      </c>
      <c r="AV158" s="3" t="s">
        <v>79</v>
      </c>
      <c r="AW158" s="3" t="s">
        <v>79</v>
      </c>
      <c r="AX158" s="3">
        <v>2004.0</v>
      </c>
      <c r="AY158" s="3">
        <v>26.0</v>
      </c>
      <c r="AZ158" s="3" t="s">
        <v>79</v>
      </c>
      <c r="BA158" s="3" t="s">
        <v>2331</v>
      </c>
      <c r="BB158" s="3" t="s">
        <v>79</v>
      </c>
      <c r="BC158" s="3" t="s">
        <v>79</v>
      </c>
      <c r="BD158" s="3" t="s">
        <v>79</v>
      </c>
      <c r="BE158" s="3">
        <v>5.0</v>
      </c>
      <c r="BF158" s="3">
        <v>8.0</v>
      </c>
      <c r="BG158" s="3" t="s">
        <v>79</v>
      </c>
      <c r="BH158" s="3" t="s">
        <v>79</v>
      </c>
      <c r="BI158" s="3" t="s">
        <v>79</v>
      </c>
      <c r="BJ158" s="3" t="s">
        <v>79</v>
      </c>
      <c r="BK158" s="3" t="s">
        <v>79</v>
      </c>
      <c r="BL158" s="3" t="s">
        <v>79</v>
      </c>
      <c r="BM158" s="3" t="s">
        <v>79</v>
      </c>
      <c r="BN158" s="3" t="s">
        <v>79</v>
      </c>
      <c r="BO158" s="3" t="s">
        <v>2332</v>
      </c>
      <c r="BP158" s="3" t="s">
        <v>79</v>
      </c>
      <c r="BQ158" s="3" t="s">
        <v>79</v>
      </c>
      <c r="BR158" s="3" t="s">
        <v>79</v>
      </c>
      <c r="BS158" s="3" t="s">
        <v>79</v>
      </c>
      <c r="BT158" s="3" t="s">
        <v>79</v>
      </c>
      <c r="BU158" s="3" t="s">
        <v>95</v>
      </c>
      <c r="BV158" s="3" t="s">
        <v>2333</v>
      </c>
      <c r="BW158" s="3" t="str">
        <f>HYPERLINK("https%3A%2F%2Fwww.webofscience.com%2Fwos%2Fwoscc%2Ffull-record%2FWOS:000225461800002","View Full Record in Web of Science")</f>
        <v>View Full Record in Web of Science</v>
      </c>
    </row>
    <row r="159" ht="12.75" customHeight="1">
      <c r="A159" s="13"/>
      <c r="B159" s="12"/>
      <c r="C159" s="13"/>
      <c r="D159" s="13" t="s">
        <v>77</v>
      </c>
      <c r="E159" s="3" t="s">
        <v>2334</v>
      </c>
      <c r="F159" s="3" t="s">
        <v>79</v>
      </c>
      <c r="G159" s="3" t="s">
        <v>79</v>
      </c>
      <c r="H159" s="3" t="s">
        <v>80</v>
      </c>
      <c r="I159" s="3" t="s">
        <v>2335</v>
      </c>
      <c r="J159" s="3" t="s">
        <v>79</v>
      </c>
      <c r="K159" s="3" t="s">
        <v>79</v>
      </c>
      <c r="L159" s="3" t="s">
        <v>2336</v>
      </c>
      <c r="M159" s="3" t="s">
        <v>2337</v>
      </c>
      <c r="N159" s="3" t="s">
        <v>79</v>
      </c>
      <c r="O159" s="3" t="s">
        <v>79</v>
      </c>
      <c r="P159" s="3" t="s">
        <v>79</v>
      </c>
      <c r="Q159" s="3" t="s">
        <v>84</v>
      </c>
      <c r="R159" s="3" t="s">
        <v>79</v>
      </c>
      <c r="S159" s="3" t="s">
        <v>79</v>
      </c>
      <c r="T159" s="3" t="s">
        <v>79</v>
      </c>
      <c r="U159" s="3" t="s">
        <v>79</v>
      </c>
      <c r="V159" s="3" t="s">
        <v>79</v>
      </c>
      <c r="W159" s="3" t="s">
        <v>2338</v>
      </c>
      <c r="X159" s="3" t="s">
        <v>79</v>
      </c>
      <c r="Y159" s="3" t="s">
        <v>2339</v>
      </c>
      <c r="Z159" s="3" t="s">
        <v>2340</v>
      </c>
      <c r="AA159" s="3" t="s">
        <v>2341</v>
      </c>
      <c r="AB159" s="3" t="s">
        <v>2342</v>
      </c>
      <c r="AC159" s="3" t="s">
        <v>2343</v>
      </c>
      <c r="AD159" s="3" t="s">
        <v>2344</v>
      </c>
      <c r="AE159" s="3" t="s">
        <v>2345</v>
      </c>
      <c r="AF159" s="3" t="s">
        <v>79</v>
      </c>
      <c r="AG159" s="3" t="s">
        <v>79</v>
      </c>
      <c r="AH159" s="3" t="s">
        <v>79</v>
      </c>
      <c r="AI159" s="3" t="s">
        <v>79</v>
      </c>
      <c r="AJ159" s="3">
        <v>18.0</v>
      </c>
      <c r="AK159" s="3">
        <v>3.0</v>
      </c>
      <c r="AL159" s="3">
        <v>3.0</v>
      </c>
      <c r="AM159" s="3" t="s">
        <v>79</v>
      </c>
      <c r="AN159" s="3" t="s">
        <v>79</v>
      </c>
      <c r="AO159" s="3" t="s">
        <v>79</v>
      </c>
      <c r="AP159" s="3" t="s">
        <v>79</v>
      </c>
      <c r="AQ159" s="3" t="s">
        <v>79</v>
      </c>
      <c r="AR159" s="3" t="s">
        <v>79</v>
      </c>
      <c r="AS159" s="3" t="s">
        <v>79</v>
      </c>
      <c r="AT159" s="3" t="s">
        <v>79</v>
      </c>
      <c r="AU159" s="3" t="s">
        <v>79</v>
      </c>
      <c r="AV159" s="3" t="s">
        <v>79</v>
      </c>
      <c r="AW159" s="3" t="s">
        <v>79</v>
      </c>
      <c r="AX159" s="3">
        <v>2018.0</v>
      </c>
      <c r="AY159" s="3" t="s">
        <v>79</v>
      </c>
      <c r="AZ159" s="3" t="s">
        <v>79</v>
      </c>
      <c r="BA159" s="3" t="s">
        <v>79</v>
      </c>
      <c r="BB159" s="3" t="s">
        <v>79</v>
      </c>
      <c r="BC159" s="3" t="s">
        <v>79</v>
      </c>
      <c r="BD159" s="3" t="s">
        <v>79</v>
      </c>
      <c r="BE159" s="3">
        <v>418.0</v>
      </c>
      <c r="BF159" s="3">
        <v>421.0</v>
      </c>
      <c r="BG159" s="3" t="s">
        <v>79</v>
      </c>
      <c r="BH159" s="3" t="s">
        <v>79</v>
      </c>
      <c r="BI159" s="3" t="s">
        <v>79</v>
      </c>
      <c r="BJ159" s="3" t="s">
        <v>79</v>
      </c>
      <c r="BK159" s="3" t="s">
        <v>79</v>
      </c>
      <c r="BL159" s="3" t="s">
        <v>79</v>
      </c>
      <c r="BM159" s="3" t="s">
        <v>79</v>
      </c>
      <c r="BN159" s="3" t="s">
        <v>79</v>
      </c>
      <c r="BO159" s="3" t="s">
        <v>438</v>
      </c>
      <c r="BP159" s="3" t="s">
        <v>79</v>
      </c>
      <c r="BQ159" s="3" t="s">
        <v>79</v>
      </c>
      <c r="BR159" s="3" t="s">
        <v>79</v>
      </c>
      <c r="BS159" s="3" t="s">
        <v>79</v>
      </c>
      <c r="BT159" s="3" t="s">
        <v>79</v>
      </c>
      <c r="BU159" s="3" t="s">
        <v>95</v>
      </c>
      <c r="BV159" s="3" t="s">
        <v>2346</v>
      </c>
      <c r="BW159" s="3" t="str">
        <f>HYPERLINK("https%3A%2F%2Fwww.webofscience.com%2Fwos%2Fwoscc%2Ffull-record%2FWOS:000468469300081","View Full Record in Web of Science")</f>
        <v>View Full Record in Web of Science</v>
      </c>
    </row>
    <row r="160" ht="12.75" customHeight="1">
      <c r="A160" s="13"/>
      <c r="B160" s="12"/>
      <c r="C160" s="13"/>
      <c r="D160" s="13" t="s">
        <v>185</v>
      </c>
      <c r="E160" s="3" t="s">
        <v>2347</v>
      </c>
      <c r="F160" s="3" t="s">
        <v>79</v>
      </c>
      <c r="G160" s="3" t="s">
        <v>79</v>
      </c>
      <c r="H160" s="3" t="s">
        <v>79</v>
      </c>
      <c r="I160" s="3" t="s">
        <v>2348</v>
      </c>
      <c r="J160" s="3" t="s">
        <v>79</v>
      </c>
      <c r="K160" s="3" t="s">
        <v>79</v>
      </c>
      <c r="L160" s="3" t="s">
        <v>2349</v>
      </c>
      <c r="M160" s="3" t="s">
        <v>2350</v>
      </c>
      <c r="N160" s="3" t="s">
        <v>79</v>
      </c>
      <c r="O160" s="3" t="s">
        <v>79</v>
      </c>
      <c r="P160" s="3" t="s">
        <v>79</v>
      </c>
      <c r="Q160" s="3" t="s">
        <v>190</v>
      </c>
      <c r="R160" s="3" t="s">
        <v>79</v>
      </c>
      <c r="S160" s="3" t="s">
        <v>79</v>
      </c>
      <c r="T160" s="3" t="s">
        <v>79</v>
      </c>
      <c r="U160" s="3" t="s">
        <v>79</v>
      </c>
      <c r="V160" s="3" t="s">
        <v>79</v>
      </c>
      <c r="W160" s="3" t="s">
        <v>2351</v>
      </c>
      <c r="X160" s="3" t="s">
        <v>2352</v>
      </c>
      <c r="Y160" s="3" t="s">
        <v>2353</v>
      </c>
      <c r="Z160" s="3" t="s">
        <v>2354</v>
      </c>
      <c r="AA160" s="3" t="s">
        <v>2355</v>
      </c>
      <c r="AB160" s="3" t="s">
        <v>2356</v>
      </c>
      <c r="AC160" s="3" t="s">
        <v>2357</v>
      </c>
      <c r="AD160" s="3" t="s">
        <v>2358</v>
      </c>
      <c r="AE160" s="3" t="s">
        <v>79</v>
      </c>
      <c r="AF160" s="3" t="s">
        <v>79</v>
      </c>
      <c r="AG160" s="3" t="s">
        <v>79</v>
      </c>
      <c r="AH160" s="3" t="s">
        <v>79</v>
      </c>
      <c r="AI160" s="3" t="s">
        <v>79</v>
      </c>
      <c r="AJ160" s="3">
        <v>53.0</v>
      </c>
      <c r="AK160" s="3">
        <v>1.0</v>
      </c>
      <c r="AL160" s="3">
        <v>1.0</v>
      </c>
      <c r="AM160" s="3" t="s">
        <v>79</v>
      </c>
      <c r="AN160" s="3" t="s">
        <v>79</v>
      </c>
      <c r="AO160" s="3" t="s">
        <v>79</v>
      </c>
      <c r="AP160" s="3" t="s">
        <v>79</v>
      </c>
      <c r="AQ160" s="3" t="s">
        <v>79</v>
      </c>
      <c r="AR160" s="3" t="s">
        <v>79</v>
      </c>
      <c r="AS160" s="3" t="s">
        <v>79</v>
      </c>
      <c r="AT160" s="3" t="s">
        <v>79</v>
      </c>
      <c r="AU160" s="3" t="s">
        <v>79</v>
      </c>
      <c r="AV160" s="3" t="s">
        <v>79</v>
      </c>
      <c r="AW160" s="3" t="s">
        <v>527</v>
      </c>
      <c r="AX160" s="3">
        <v>2024.0</v>
      </c>
      <c r="AY160" s="3">
        <v>10.0</v>
      </c>
      <c r="AZ160" s="3">
        <v>2.0</v>
      </c>
      <c r="BA160" s="3" t="s">
        <v>79</v>
      </c>
      <c r="BB160" s="3" t="s">
        <v>79</v>
      </c>
      <c r="BC160" s="3" t="s">
        <v>79</v>
      </c>
      <c r="BD160" s="3" t="s">
        <v>79</v>
      </c>
      <c r="BE160" s="3">
        <v>108.0</v>
      </c>
      <c r="BF160" s="3">
        <v>122.0</v>
      </c>
      <c r="BG160" s="3" t="s">
        <v>79</v>
      </c>
      <c r="BH160" s="3" t="s">
        <v>79</v>
      </c>
      <c r="BI160" s="3" t="s">
        <v>79</v>
      </c>
      <c r="BJ160" s="3" t="s">
        <v>79</v>
      </c>
      <c r="BK160" s="3" t="s">
        <v>79</v>
      </c>
      <c r="BL160" s="3" t="s">
        <v>79</v>
      </c>
      <c r="BM160" s="3" t="s">
        <v>79</v>
      </c>
      <c r="BN160" s="3" t="s">
        <v>79</v>
      </c>
      <c r="BO160" s="3" t="s">
        <v>1400</v>
      </c>
      <c r="BP160" s="3" t="s">
        <v>79</v>
      </c>
      <c r="BQ160" s="3" t="s">
        <v>79</v>
      </c>
      <c r="BR160" s="3" t="s">
        <v>79</v>
      </c>
      <c r="BS160" s="3" t="s">
        <v>79</v>
      </c>
      <c r="BT160" s="3" t="s">
        <v>79</v>
      </c>
      <c r="BU160" s="3" t="s">
        <v>95</v>
      </c>
      <c r="BV160" s="3" t="s">
        <v>2359</v>
      </c>
      <c r="BW160" s="3" t="str">
        <f>HYPERLINK("https%3A%2F%2Fwww.webofscience.com%2Fwos%2Fwoscc%2Ffull-record%2FWOS:001296989500001","View Full Record in Web of Science")</f>
        <v>View Full Record in Web of Science</v>
      </c>
    </row>
    <row r="161" ht="12.75" customHeight="1">
      <c r="A161" s="13"/>
      <c r="B161" s="12"/>
      <c r="C161" s="13"/>
      <c r="D161" s="13" t="s">
        <v>185</v>
      </c>
      <c r="E161" s="3" t="s">
        <v>2360</v>
      </c>
      <c r="F161" s="3" t="s">
        <v>79</v>
      </c>
      <c r="G161" s="3" t="s">
        <v>79</v>
      </c>
      <c r="H161" s="3" t="s">
        <v>79</v>
      </c>
      <c r="I161" s="3" t="s">
        <v>2361</v>
      </c>
      <c r="J161" s="3" t="s">
        <v>79</v>
      </c>
      <c r="K161" s="3" t="s">
        <v>79</v>
      </c>
      <c r="L161" s="3" t="s">
        <v>2362</v>
      </c>
      <c r="M161" s="3" t="s">
        <v>2363</v>
      </c>
      <c r="N161" s="3" t="s">
        <v>79</v>
      </c>
      <c r="O161" s="3" t="s">
        <v>79</v>
      </c>
      <c r="P161" s="3" t="s">
        <v>79</v>
      </c>
      <c r="Q161" s="3" t="s">
        <v>190</v>
      </c>
      <c r="R161" s="3" t="s">
        <v>79</v>
      </c>
      <c r="S161" s="3" t="s">
        <v>79</v>
      </c>
      <c r="T161" s="3" t="s">
        <v>79</v>
      </c>
      <c r="U161" s="3" t="s">
        <v>79</v>
      </c>
      <c r="V161" s="3" t="s">
        <v>79</v>
      </c>
      <c r="W161" s="3" t="s">
        <v>2364</v>
      </c>
      <c r="X161" s="3" t="s">
        <v>2365</v>
      </c>
      <c r="Y161" s="3" t="s">
        <v>2366</v>
      </c>
      <c r="Z161" s="3" t="s">
        <v>2367</v>
      </c>
      <c r="AA161" s="3" t="s">
        <v>2368</v>
      </c>
      <c r="AB161" s="3" t="s">
        <v>2369</v>
      </c>
      <c r="AC161" s="3" t="s">
        <v>79</v>
      </c>
      <c r="AD161" s="3" t="s">
        <v>2370</v>
      </c>
      <c r="AE161" s="3" t="s">
        <v>79</v>
      </c>
      <c r="AF161" s="3" t="s">
        <v>79</v>
      </c>
      <c r="AG161" s="3" t="s">
        <v>79</v>
      </c>
      <c r="AH161" s="3" t="s">
        <v>79</v>
      </c>
      <c r="AI161" s="3" t="s">
        <v>79</v>
      </c>
      <c r="AJ161" s="3">
        <v>42.0</v>
      </c>
      <c r="AK161" s="3">
        <v>0.0</v>
      </c>
      <c r="AL161" s="3">
        <v>0.0</v>
      </c>
      <c r="AM161" s="3" t="s">
        <v>79</v>
      </c>
      <c r="AN161" s="3" t="s">
        <v>79</v>
      </c>
      <c r="AO161" s="3" t="s">
        <v>79</v>
      </c>
      <c r="AP161" s="3" t="s">
        <v>79</v>
      </c>
      <c r="AQ161" s="3" t="s">
        <v>79</v>
      </c>
      <c r="AR161" s="3" t="s">
        <v>79</v>
      </c>
      <c r="AS161" s="3" t="s">
        <v>79</v>
      </c>
      <c r="AT161" s="3" t="s">
        <v>79</v>
      </c>
      <c r="AU161" s="3" t="s">
        <v>79</v>
      </c>
      <c r="AV161" s="3" t="s">
        <v>79</v>
      </c>
      <c r="AW161" s="3" t="s">
        <v>2371</v>
      </c>
      <c r="AX161" s="3">
        <v>2024.0</v>
      </c>
      <c r="AY161" s="3">
        <v>15.0</v>
      </c>
      <c r="AZ161" s="3">
        <v>5.0</v>
      </c>
      <c r="BA161" s="3" t="s">
        <v>79</v>
      </c>
      <c r="BB161" s="3" t="s">
        <v>79</v>
      </c>
      <c r="BC161" s="3" t="s">
        <v>79</v>
      </c>
      <c r="BD161" s="3" t="s">
        <v>79</v>
      </c>
      <c r="BE161" s="3">
        <v>126.0</v>
      </c>
      <c r="BF161" s="3">
        <v>133.0</v>
      </c>
      <c r="BG161" s="3" t="s">
        <v>79</v>
      </c>
      <c r="BH161" s="3" t="s">
        <v>79</v>
      </c>
      <c r="BI161" s="3" t="s">
        <v>79</v>
      </c>
      <c r="BJ161" s="3" t="s">
        <v>79</v>
      </c>
      <c r="BK161" s="3" t="s">
        <v>79</v>
      </c>
      <c r="BL161" s="3" t="s">
        <v>79</v>
      </c>
      <c r="BM161" s="3" t="s">
        <v>79</v>
      </c>
      <c r="BN161" s="3" t="s">
        <v>79</v>
      </c>
      <c r="BO161" s="3" t="s">
        <v>275</v>
      </c>
      <c r="BP161" s="3" t="s">
        <v>79</v>
      </c>
      <c r="BQ161" s="3" t="s">
        <v>79</v>
      </c>
      <c r="BR161" s="3" t="s">
        <v>79</v>
      </c>
      <c r="BS161" s="3" t="s">
        <v>79</v>
      </c>
      <c r="BT161" s="3" t="s">
        <v>79</v>
      </c>
      <c r="BU161" s="3" t="s">
        <v>95</v>
      </c>
      <c r="BV161" s="3" t="s">
        <v>2372</v>
      </c>
      <c r="BW161" s="3" t="str">
        <f>HYPERLINK("https%3A%2F%2Fwww.webofscience.com%2Fwos%2Fwoscc%2Ffull-record%2FWOS:001315627600014","View Full Record in Web of Science")</f>
        <v>View Full Record in Web of Science</v>
      </c>
    </row>
    <row r="162" ht="12.75" customHeight="1">
      <c r="A162" s="13"/>
      <c r="B162" s="12"/>
      <c r="C162" s="13"/>
      <c r="D162" s="13" t="s">
        <v>185</v>
      </c>
      <c r="E162" s="3" t="s">
        <v>2373</v>
      </c>
      <c r="F162" s="3" t="s">
        <v>79</v>
      </c>
      <c r="G162" s="3" t="s">
        <v>79</v>
      </c>
      <c r="H162" s="3" t="s">
        <v>79</v>
      </c>
      <c r="I162" s="3" t="s">
        <v>2374</v>
      </c>
      <c r="J162" s="3" t="s">
        <v>79</v>
      </c>
      <c r="K162" s="3" t="s">
        <v>79</v>
      </c>
      <c r="L162" s="3" t="s">
        <v>2375</v>
      </c>
      <c r="M162" s="3" t="s">
        <v>518</v>
      </c>
      <c r="N162" s="3" t="s">
        <v>79</v>
      </c>
      <c r="O162" s="3" t="s">
        <v>79</v>
      </c>
      <c r="P162" s="3" t="s">
        <v>79</v>
      </c>
      <c r="Q162" s="3" t="s">
        <v>190</v>
      </c>
      <c r="R162" s="3" t="s">
        <v>79</v>
      </c>
      <c r="S162" s="3" t="s">
        <v>79</v>
      </c>
      <c r="T162" s="3" t="s">
        <v>79</v>
      </c>
      <c r="U162" s="3" t="s">
        <v>79</v>
      </c>
      <c r="V162" s="3" t="s">
        <v>79</v>
      </c>
      <c r="W162" s="3" t="s">
        <v>2376</v>
      </c>
      <c r="X162" s="3" t="s">
        <v>2377</v>
      </c>
      <c r="Y162" s="3" t="s">
        <v>2378</v>
      </c>
      <c r="Z162" s="3" t="s">
        <v>2379</v>
      </c>
      <c r="AA162" s="3" t="s">
        <v>2380</v>
      </c>
      <c r="AB162" s="3" t="s">
        <v>2381</v>
      </c>
      <c r="AC162" s="3" t="s">
        <v>2382</v>
      </c>
      <c r="AD162" s="3" t="s">
        <v>2383</v>
      </c>
      <c r="AE162" s="3" t="s">
        <v>2384</v>
      </c>
      <c r="AF162" s="3" t="s">
        <v>79</v>
      </c>
      <c r="AG162" s="3" t="s">
        <v>79</v>
      </c>
      <c r="AH162" s="3" t="s">
        <v>79</v>
      </c>
      <c r="AI162" s="3" t="s">
        <v>79</v>
      </c>
      <c r="AJ162" s="3">
        <v>29.0</v>
      </c>
      <c r="AK162" s="3">
        <v>104.0</v>
      </c>
      <c r="AL162" s="3">
        <v>125.0</v>
      </c>
      <c r="AM162" s="3" t="s">
        <v>79</v>
      </c>
      <c r="AN162" s="3" t="s">
        <v>79</v>
      </c>
      <c r="AO162" s="3" t="s">
        <v>79</v>
      </c>
      <c r="AP162" s="3" t="s">
        <v>79</v>
      </c>
      <c r="AQ162" s="3" t="s">
        <v>79</v>
      </c>
      <c r="AR162" s="3" t="s">
        <v>79</v>
      </c>
      <c r="AS162" s="3" t="s">
        <v>79</v>
      </c>
      <c r="AT162" s="3" t="s">
        <v>79</v>
      </c>
      <c r="AU162" s="3" t="s">
        <v>79</v>
      </c>
      <c r="AV162" s="3" t="s">
        <v>79</v>
      </c>
      <c r="AW162" s="3" t="s">
        <v>1937</v>
      </c>
      <c r="AX162" s="3">
        <v>2013.0</v>
      </c>
      <c r="AY162" s="3">
        <v>8.0</v>
      </c>
      <c r="AZ162" s="3">
        <v>6.0</v>
      </c>
      <c r="BA162" s="3" t="s">
        <v>79</v>
      </c>
      <c r="BB162" s="3" t="s">
        <v>79</v>
      </c>
      <c r="BC162" s="3" t="s">
        <v>79</v>
      </c>
      <c r="BD162" s="3" t="s">
        <v>79</v>
      </c>
      <c r="BE162" s="3">
        <v>901.0</v>
      </c>
      <c r="BF162" s="3">
        <v>908.0</v>
      </c>
      <c r="BG162" s="3" t="s">
        <v>79</v>
      </c>
      <c r="BH162" s="3" t="s">
        <v>2385</v>
      </c>
      <c r="BI162" s="8" t="str">
        <f>HYPERLINK("http://dx.doi.org/10.1016/j.bspc.2013.07.011","http://dx.doi.org/10.1016/j.bspc.2013.07.011")</f>
        <v>http://dx.doi.org/10.1016/j.bspc.2013.07.011</v>
      </c>
      <c r="BJ162" s="3" t="s">
        <v>79</v>
      </c>
      <c r="BK162" s="3" t="s">
        <v>79</v>
      </c>
      <c r="BL162" s="3" t="s">
        <v>79</v>
      </c>
      <c r="BM162" s="3" t="s">
        <v>79</v>
      </c>
      <c r="BN162" s="3" t="s">
        <v>79</v>
      </c>
      <c r="BO162" s="3" t="s">
        <v>139</v>
      </c>
      <c r="BP162" s="3" t="s">
        <v>79</v>
      </c>
      <c r="BQ162" s="3" t="s">
        <v>79</v>
      </c>
      <c r="BR162" s="3" t="s">
        <v>79</v>
      </c>
      <c r="BS162" s="3" t="s">
        <v>79</v>
      </c>
      <c r="BT162" s="3" t="s">
        <v>79</v>
      </c>
      <c r="BU162" s="3" t="s">
        <v>95</v>
      </c>
      <c r="BV162" s="3" t="s">
        <v>2386</v>
      </c>
      <c r="BW162" s="3" t="str">
        <f>HYPERLINK("https%3A%2F%2Fwww.webofscience.com%2Fwos%2Fwoscc%2Ffull-record%2FWOS:000329885000046","View Full Record in Web of Science")</f>
        <v>View Full Record in Web of Science</v>
      </c>
    </row>
    <row r="163" ht="12.75" customHeight="1">
      <c r="A163" s="13"/>
      <c r="B163" s="12"/>
      <c r="C163" s="13"/>
      <c r="D163" s="13" t="s">
        <v>77</v>
      </c>
      <c r="E163" s="3" t="s">
        <v>392</v>
      </c>
      <c r="F163" s="3" t="s">
        <v>79</v>
      </c>
      <c r="G163" s="3" t="s">
        <v>79</v>
      </c>
      <c r="H163" s="3" t="s">
        <v>80</v>
      </c>
      <c r="I163" s="3" t="s">
        <v>2387</v>
      </c>
      <c r="J163" s="3" t="s">
        <v>79</v>
      </c>
      <c r="K163" s="3" t="s">
        <v>79</v>
      </c>
      <c r="L163" s="3" t="s">
        <v>2388</v>
      </c>
      <c r="M163" s="3" t="s">
        <v>2389</v>
      </c>
      <c r="N163" s="3" t="s">
        <v>79</v>
      </c>
      <c r="O163" s="3" t="s">
        <v>79</v>
      </c>
      <c r="P163" s="3" t="s">
        <v>79</v>
      </c>
      <c r="Q163" s="3" t="s">
        <v>84</v>
      </c>
      <c r="R163" s="3" t="s">
        <v>79</v>
      </c>
      <c r="S163" s="3" t="s">
        <v>79</v>
      </c>
      <c r="T163" s="3" t="s">
        <v>79</v>
      </c>
      <c r="U163" s="3" t="s">
        <v>79</v>
      </c>
      <c r="V163" s="3" t="s">
        <v>79</v>
      </c>
      <c r="W163" s="3" t="s">
        <v>2390</v>
      </c>
      <c r="X163" s="3" t="s">
        <v>2391</v>
      </c>
      <c r="Y163" s="3" t="s">
        <v>2392</v>
      </c>
      <c r="Z163" s="3" t="s">
        <v>2393</v>
      </c>
      <c r="AA163" s="3" t="s">
        <v>398</v>
      </c>
      <c r="AB163" s="3" t="s">
        <v>2394</v>
      </c>
      <c r="AC163" s="3" t="s">
        <v>400</v>
      </c>
      <c r="AD163" s="3" t="s">
        <v>2395</v>
      </c>
      <c r="AE163" s="3" t="s">
        <v>79</v>
      </c>
      <c r="AF163" s="3" t="s">
        <v>79</v>
      </c>
      <c r="AG163" s="3" t="s">
        <v>79</v>
      </c>
      <c r="AH163" s="3" t="s">
        <v>79</v>
      </c>
      <c r="AI163" s="3" t="s">
        <v>79</v>
      </c>
      <c r="AJ163" s="3">
        <v>19.0</v>
      </c>
      <c r="AK163" s="3">
        <v>3.0</v>
      </c>
      <c r="AL163" s="3">
        <v>3.0</v>
      </c>
      <c r="AM163" s="3" t="s">
        <v>79</v>
      </c>
      <c r="AN163" s="3" t="s">
        <v>79</v>
      </c>
      <c r="AO163" s="3" t="s">
        <v>79</v>
      </c>
      <c r="AP163" s="3" t="s">
        <v>79</v>
      </c>
      <c r="AQ163" s="3" t="s">
        <v>79</v>
      </c>
      <c r="AR163" s="3" t="s">
        <v>79</v>
      </c>
      <c r="AS163" s="3" t="s">
        <v>79</v>
      </c>
      <c r="AT163" s="3" t="s">
        <v>79</v>
      </c>
      <c r="AU163" s="3" t="s">
        <v>79</v>
      </c>
      <c r="AV163" s="3" t="s">
        <v>79</v>
      </c>
      <c r="AW163" s="3" t="s">
        <v>79</v>
      </c>
      <c r="AX163" s="3">
        <v>2016.0</v>
      </c>
      <c r="AY163" s="3" t="s">
        <v>79</v>
      </c>
      <c r="AZ163" s="3" t="s">
        <v>79</v>
      </c>
      <c r="BA163" s="3" t="s">
        <v>79</v>
      </c>
      <c r="BB163" s="3" t="s">
        <v>79</v>
      </c>
      <c r="BC163" s="3" t="s">
        <v>79</v>
      </c>
      <c r="BD163" s="3" t="s">
        <v>79</v>
      </c>
      <c r="BE163" s="3" t="s">
        <v>79</v>
      </c>
      <c r="BF163" s="3" t="s">
        <v>79</v>
      </c>
      <c r="BG163" s="3" t="s">
        <v>79</v>
      </c>
      <c r="BH163" s="3" t="s">
        <v>79</v>
      </c>
      <c r="BI163" s="3" t="s">
        <v>79</v>
      </c>
      <c r="BJ163" s="3" t="s">
        <v>79</v>
      </c>
      <c r="BK163" s="3" t="s">
        <v>79</v>
      </c>
      <c r="BL163" s="3" t="s">
        <v>79</v>
      </c>
      <c r="BM163" s="3" t="s">
        <v>79</v>
      </c>
      <c r="BN163" s="3" t="s">
        <v>79</v>
      </c>
      <c r="BO163" s="3" t="s">
        <v>139</v>
      </c>
      <c r="BP163" s="3" t="s">
        <v>79</v>
      </c>
      <c r="BQ163" s="3" t="s">
        <v>79</v>
      </c>
      <c r="BR163" s="3" t="s">
        <v>79</v>
      </c>
      <c r="BS163" s="3" t="s">
        <v>79</v>
      </c>
      <c r="BT163" s="3" t="s">
        <v>79</v>
      </c>
      <c r="BU163" s="3" t="s">
        <v>95</v>
      </c>
      <c r="BV163" s="3" t="s">
        <v>2396</v>
      </c>
      <c r="BW163" s="3" t="str">
        <f>HYPERLINK("https%3A%2F%2Fwww.webofscience.com%2Fwos%2Fwoscc%2Ffull-record%2FWOS:000391254900042","View Full Record in Web of Science")</f>
        <v>View Full Record in Web of Science</v>
      </c>
    </row>
    <row r="164" ht="12.75" customHeight="1">
      <c r="A164" s="13"/>
      <c r="B164" s="12"/>
      <c r="C164" s="13"/>
      <c r="D164" s="13" t="s">
        <v>185</v>
      </c>
      <c r="E164" s="3" t="s">
        <v>2397</v>
      </c>
      <c r="F164" s="3" t="s">
        <v>79</v>
      </c>
      <c r="G164" s="3" t="s">
        <v>79</v>
      </c>
      <c r="H164" s="3" t="s">
        <v>79</v>
      </c>
      <c r="I164" s="3" t="s">
        <v>2397</v>
      </c>
      <c r="J164" s="3" t="s">
        <v>79</v>
      </c>
      <c r="K164" s="3" t="s">
        <v>79</v>
      </c>
      <c r="L164" s="3" t="s">
        <v>2398</v>
      </c>
      <c r="M164" s="3" t="s">
        <v>410</v>
      </c>
      <c r="N164" s="3" t="s">
        <v>79</v>
      </c>
      <c r="O164" s="3" t="s">
        <v>79</v>
      </c>
      <c r="P164" s="3" t="s">
        <v>79</v>
      </c>
      <c r="Q164" s="3" t="s">
        <v>190</v>
      </c>
      <c r="R164" s="3" t="s">
        <v>79</v>
      </c>
      <c r="S164" s="3" t="s">
        <v>79</v>
      </c>
      <c r="T164" s="3" t="s">
        <v>79</v>
      </c>
      <c r="U164" s="3" t="s">
        <v>79</v>
      </c>
      <c r="V164" s="3" t="s">
        <v>79</v>
      </c>
      <c r="W164" s="3" t="s">
        <v>2399</v>
      </c>
      <c r="X164" s="3" t="s">
        <v>2400</v>
      </c>
      <c r="Y164" s="3" t="s">
        <v>2401</v>
      </c>
      <c r="Z164" s="3" t="s">
        <v>2402</v>
      </c>
      <c r="AA164" s="3" t="s">
        <v>2403</v>
      </c>
      <c r="AB164" s="3" t="s">
        <v>2404</v>
      </c>
      <c r="AC164" s="3" t="s">
        <v>2405</v>
      </c>
      <c r="AD164" s="3" t="s">
        <v>79</v>
      </c>
      <c r="AE164" s="3" t="s">
        <v>79</v>
      </c>
      <c r="AF164" s="3" t="s">
        <v>79</v>
      </c>
      <c r="AG164" s="3" t="s">
        <v>79</v>
      </c>
      <c r="AH164" s="3" t="s">
        <v>79</v>
      </c>
      <c r="AI164" s="3" t="s">
        <v>79</v>
      </c>
      <c r="AJ164" s="3">
        <v>11.0</v>
      </c>
      <c r="AK164" s="3">
        <v>115.0</v>
      </c>
      <c r="AL164" s="3">
        <v>128.0</v>
      </c>
      <c r="AM164" s="3" t="s">
        <v>79</v>
      </c>
      <c r="AN164" s="3" t="s">
        <v>79</v>
      </c>
      <c r="AO164" s="3" t="s">
        <v>79</v>
      </c>
      <c r="AP164" s="3" t="s">
        <v>79</v>
      </c>
      <c r="AQ164" s="3" t="s">
        <v>79</v>
      </c>
      <c r="AR164" s="3" t="s">
        <v>79</v>
      </c>
      <c r="AS164" s="3" t="s">
        <v>79</v>
      </c>
      <c r="AT164" s="3" t="s">
        <v>79</v>
      </c>
      <c r="AU164" s="3" t="s">
        <v>79</v>
      </c>
      <c r="AV164" s="3" t="s">
        <v>79</v>
      </c>
      <c r="AW164" s="3" t="s">
        <v>482</v>
      </c>
      <c r="AX164" s="3">
        <v>2003.0</v>
      </c>
      <c r="AY164" s="3">
        <v>11.0</v>
      </c>
      <c r="AZ164" s="3">
        <v>4.0</v>
      </c>
      <c r="BA164" s="3" t="s">
        <v>79</v>
      </c>
      <c r="BB164" s="3" t="s">
        <v>79</v>
      </c>
      <c r="BC164" s="3" t="s">
        <v>79</v>
      </c>
      <c r="BD164" s="3" t="s">
        <v>79</v>
      </c>
      <c r="BE164" s="3">
        <v>422.0</v>
      </c>
      <c r="BF164" s="3">
        <v>426.0</v>
      </c>
      <c r="BG164" s="3" t="s">
        <v>79</v>
      </c>
      <c r="BH164" s="3" t="s">
        <v>2406</v>
      </c>
      <c r="BI164" s="8" t="str">
        <f>HYPERLINK("http://dx.doi.org/10.1109/TNSRE.2003.816866","http://dx.doi.org/10.1109/TNSRE.2003.816866")</f>
        <v>http://dx.doi.org/10.1109/TNSRE.2003.816866</v>
      </c>
      <c r="BJ164" s="3" t="s">
        <v>79</v>
      </c>
      <c r="BK164" s="3" t="s">
        <v>79</v>
      </c>
      <c r="BL164" s="3" t="s">
        <v>79</v>
      </c>
      <c r="BM164" s="3" t="s">
        <v>79</v>
      </c>
      <c r="BN164" s="3" t="s">
        <v>79</v>
      </c>
      <c r="BO164" s="3" t="s">
        <v>109</v>
      </c>
      <c r="BP164" s="3" t="s">
        <v>79</v>
      </c>
      <c r="BQ164" s="3" t="s">
        <v>79</v>
      </c>
      <c r="BR164" s="3" t="s">
        <v>79</v>
      </c>
      <c r="BS164" s="3" t="s">
        <v>79</v>
      </c>
      <c r="BT164" s="3" t="s">
        <v>79</v>
      </c>
      <c r="BU164" s="3" t="s">
        <v>95</v>
      </c>
      <c r="BV164" s="3" t="s">
        <v>2407</v>
      </c>
      <c r="BW164" s="3" t="str">
        <f>HYPERLINK("https%3A%2F%2Fwww.webofscience.com%2Fwos%2Fwoscc%2Ffull-record%2FWOS:000188541100012","View Full Record in Web of Science")</f>
        <v>View Full Record in Web of Science</v>
      </c>
    </row>
    <row r="165" ht="12.75" customHeight="1">
      <c r="A165" s="13"/>
      <c r="B165" s="12"/>
      <c r="C165" s="13"/>
      <c r="D165" s="13" t="s">
        <v>185</v>
      </c>
      <c r="E165" s="3" t="s">
        <v>2408</v>
      </c>
      <c r="F165" s="3" t="s">
        <v>79</v>
      </c>
      <c r="G165" s="3" t="s">
        <v>79</v>
      </c>
      <c r="H165" s="3" t="s">
        <v>79</v>
      </c>
      <c r="I165" s="3" t="s">
        <v>2409</v>
      </c>
      <c r="J165" s="3" t="s">
        <v>79</v>
      </c>
      <c r="K165" s="3" t="s">
        <v>79</v>
      </c>
      <c r="L165" s="3" t="s">
        <v>2410</v>
      </c>
      <c r="M165" s="3" t="s">
        <v>318</v>
      </c>
      <c r="N165" s="3" t="s">
        <v>79</v>
      </c>
      <c r="O165" s="3" t="s">
        <v>79</v>
      </c>
      <c r="P165" s="3" t="s">
        <v>79</v>
      </c>
      <c r="Q165" s="3" t="s">
        <v>190</v>
      </c>
      <c r="R165" s="3" t="s">
        <v>79</v>
      </c>
      <c r="S165" s="3" t="s">
        <v>79</v>
      </c>
      <c r="T165" s="3" t="s">
        <v>79</v>
      </c>
      <c r="U165" s="3" t="s">
        <v>79</v>
      </c>
      <c r="V165" s="3" t="s">
        <v>79</v>
      </c>
      <c r="W165" s="3" t="s">
        <v>2411</v>
      </c>
      <c r="X165" s="3" t="s">
        <v>2412</v>
      </c>
      <c r="Y165" s="3" t="s">
        <v>2413</v>
      </c>
      <c r="Z165" s="3" t="s">
        <v>2414</v>
      </c>
      <c r="AA165" s="3" t="s">
        <v>2415</v>
      </c>
      <c r="AB165" s="3" t="s">
        <v>2416</v>
      </c>
      <c r="AC165" s="3" t="s">
        <v>2417</v>
      </c>
      <c r="AD165" s="3" t="s">
        <v>2418</v>
      </c>
      <c r="AE165" s="3" t="s">
        <v>2419</v>
      </c>
      <c r="AF165" s="3" t="s">
        <v>79</v>
      </c>
      <c r="AG165" s="3" t="s">
        <v>79</v>
      </c>
      <c r="AH165" s="3" t="s">
        <v>79</v>
      </c>
      <c r="AI165" s="3" t="s">
        <v>79</v>
      </c>
      <c r="AJ165" s="3">
        <v>70.0</v>
      </c>
      <c r="AK165" s="3">
        <v>16.0</v>
      </c>
      <c r="AL165" s="3">
        <v>16.0</v>
      </c>
      <c r="AM165" s="3" t="s">
        <v>79</v>
      </c>
      <c r="AN165" s="3" t="s">
        <v>79</v>
      </c>
      <c r="AO165" s="3" t="s">
        <v>79</v>
      </c>
      <c r="AP165" s="3" t="s">
        <v>79</v>
      </c>
      <c r="AQ165" s="3" t="s">
        <v>79</v>
      </c>
      <c r="AR165" s="3" t="s">
        <v>79</v>
      </c>
      <c r="AS165" s="3" t="s">
        <v>79</v>
      </c>
      <c r="AT165" s="3" t="s">
        <v>79</v>
      </c>
      <c r="AU165" s="3" t="s">
        <v>79</v>
      </c>
      <c r="AV165" s="3" t="s">
        <v>79</v>
      </c>
      <c r="AW165" s="3" t="s">
        <v>2420</v>
      </c>
      <c r="AX165" s="3">
        <v>2022.0</v>
      </c>
      <c r="AY165" s="3">
        <v>16.0</v>
      </c>
      <c r="AZ165" s="3" t="s">
        <v>79</v>
      </c>
      <c r="BA165" s="3" t="s">
        <v>79</v>
      </c>
      <c r="BB165" s="3" t="s">
        <v>79</v>
      </c>
      <c r="BC165" s="3" t="s">
        <v>79</v>
      </c>
      <c r="BD165" s="3" t="s">
        <v>79</v>
      </c>
      <c r="BE165" s="3" t="s">
        <v>79</v>
      </c>
      <c r="BF165" s="3" t="s">
        <v>79</v>
      </c>
      <c r="BG165" s="3">
        <v>961089.0</v>
      </c>
      <c r="BH165" s="3" t="s">
        <v>2421</v>
      </c>
      <c r="BI165" s="8" t="str">
        <f>HYPERLINK("http://dx.doi.org/10.3389/fninf.2022.961089","http://dx.doi.org/10.3389/fninf.2022.961089")</f>
        <v>http://dx.doi.org/10.3389/fninf.2022.961089</v>
      </c>
      <c r="BJ165" s="3" t="s">
        <v>79</v>
      </c>
      <c r="BK165" s="3" t="s">
        <v>79</v>
      </c>
      <c r="BL165" s="3" t="s">
        <v>79</v>
      </c>
      <c r="BM165" s="3" t="s">
        <v>79</v>
      </c>
      <c r="BN165" s="3" t="s">
        <v>79</v>
      </c>
      <c r="BO165" s="3" t="s">
        <v>329</v>
      </c>
      <c r="BP165" s="3" t="s">
        <v>79</v>
      </c>
      <c r="BQ165" s="3" t="s">
        <v>79</v>
      </c>
      <c r="BR165" s="3" t="s">
        <v>79</v>
      </c>
      <c r="BS165" s="3" t="s">
        <v>79</v>
      </c>
      <c r="BT165" s="3" t="s">
        <v>79</v>
      </c>
      <c r="BU165" s="3" t="s">
        <v>95</v>
      </c>
      <c r="BV165" s="3" t="s">
        <v>2422</v>
      </c>
      <c r="BW165" s="3" t="str">
        <f>HYPERLINK("https%3A%2F%2Fwww.webofscience.com%2Fwos%2Fwoscc%2Ffull-record%2FWOS:000872894600001","View Full Record in Web of Science")</f>
        <v>View Full Record in Web of Science</v>
      </c>
    </row>
    <row r="166" ht="12.75" customHeight="1">
      <c r="A166" s="13"/>
      <c r="B166" s="12"/>
      <c r="C166" s="13"/>
      <c r="D166" s="13" t="s">
        <v>185</v>
      </c>
      <c r="E166" s="3" t="s">
        <v>2423</v>
      </c>
      <c r="F166" s="3" t="s">
        <v>79</v>
      </c>
      <c r="G166" s="3" t="s">
        <v>79</v>
      </c>
      <c r="H166" s="3" t="s">
        <v>79</v>
      </c>
      <c r="I166" s="3" t="s">
        <v>2424</v>
      </c>
      <c r="J166" s="3" t="s">
        <v>79</v>
      </c>
      <c r="K166" s="3" t="s">
        <v>79</v>
      </c>
      <c r="L166" s="3" t="s">
        <v>2425</v>
      </c>
      <c r="M166" s="3" t="s">
        <v>2426</v>
      </c>
      <c r="N166" s="3" t="s">
        <v>79</v>
      </c>
      <c r="O166" s="3" t="s">
        <v>79</v>
      </c>
      <c r="P166" s="3" t="s">
        <v>79</v>
      </c>
      <c r="Q166" s="3" t="s">
        <v>190</v>
      </c>
      <c r="R166" s="3" t="s">
        <v>79</v>
      </c>
      <c r="S166" s="3" t="s">
        <v>79</v>
      </c>
      <c r="T166" s="3" t="s">
        <v>79</v>
      </c>
      <c r="U166" s="3" t="s">
        <v>79</v>
      </c>
      <c r="V166" s="3" t="s">
        <v>79</v>
      </c>
      <c r="W166" s="3" t="s">
        <v>2427</v>
      </c>
      <c r="X166" s="3" t="s">
        <v>2428</v>
      </c>
      <c r="Y166" s="3" t="s">
        <v>2429</v>
      </c>
      <c r="Z166" s="3" t="s">
        <v>2430</v>
      </c>
      <c r="AA166" s="3" t="s">
        <v>2431</v>
      </c>
      <c r="AB166" s="3" t="s">
        <v>2432</v>
      </c>
      <c r="AC166" s="3" t="s">
        <v>2433</v>
      </c>
      <c r="AD166" s="3" t="s">
        <v>79</v>
      </c>
      <c r="AE166" s="3" t="s">
        <v>79</v>
      </c>
      <c r="AF166" s="3" t="s">
        <v>79</v>
      </c>
      <c r="AG166" s="3" t="s">
        <v>79</v>
      </c>
      <c r="AH166" s="3" t="s">
        <v>79</v>
      </c>
      <c r="AI166" s="3" t="s">
        <v>79</v>
      </c>
      <c r="AJ166" s="3">
        <v>17.0</v>
      </c>
      <c r="AK166" s="3">
        <v>3.0</v>
      </c>
      <c r="AL166" s="3">
        <v>3.0</v>
      </c>
      <c r="AM166" s="3" t="s">
        <v>79</v>
      </c>
      <c r="AN166" s="3" t="s">
        <v>79</v>
      </c>
      <c r="AO166" s="3" t="s">
        <v>79</v>
      </c>
      <c r="AP166" s="3" t="s">
        <v>79</v>
      </c>
      <c r="AQ166" s="3" t="s">
        <v>79</v>
      </c>
      <c r="AR166" s="3" t="s">
        <v>79</v>
      </c>
      <c r="AS166" s="3" t="s">
        <v>79</v>
      </c>
      <c r="AT166" s="3" t="s">
        <v>79</v>
      </c>
      <c r="AU166" s="3" t="s">
        <v>79</v>
      </c>
      <c r="AV166" s="3" t="s">
        <v>79</v>
      </c>
      <c r="AW166" s="3" t="s">
        <v>527</v>
      </c>
      <c r="AX166" s="3">
        <v>2013.0</v>
      </c>
      <c r="AY166" s="3">
        <v>11.0</v>
      </c>
      <c r="AZ166" s="3">
        <v>3.0</v>
      </c>
      <c r="BA166" s="3" t="s">
        <v>79</v>
      </c>
      <c r="BB166" s="3" t="s">
        <v>79</v>
      </c>
      <c r="BC166" s="3" t="s">
        <v>79</v>
      </c>
      <c r="BD166" s="3" t="s">
        <v>79</v>
      </c>
      <c r="BE166" s="3">
        <v>608.0</v>
      </c>
      <c r="BF166" s="3">
        <v>613.0</v>
      </c>
      <c r="BG166" s="3" t="s">
        <v>79</v>
      </c>
      <c r="BH166" s="3" t="s">
        <v>2434</v>
      </c>
      <c r="BI166" s="8" t="str">
        <f>HYPERLINK("http://dx.doi.org/10.1007/s12555-012-0035-z","http://dx.doi.org/10.1007/s12555-012-0035-z")</f>
        <v>http://dx.doi.org/10.1007/s12555-012-0035-z</v>
      </c>
      <c r="BJ166" s="3" t="s">
        <v>79</v>
      </c>
      <c r="BK166" s="3" t="s">
        <v>79</v>
      </c>
      <c r="BL166" s="3" t="s">
        <v>79</v>
      </c>
      <c r="BM166" s="3" t="s">
        <v>79</v>
      </c>
      <c r="BN166" s="3" t="s">
        <v>79</v>
      </c>
      <c r="BO166" s="3" t="s">
        <v>1663</v>
      </c>
      <c r="BP166" s="3" t="s">
        <v>79</v>
      </c>
      <c r="BQ166" s="3" t="s">
        <v>79</v>
      </c>
      <c r="BR166" s="3" t="s">
        <v>79</v>
      </c>
      <c r="BS166" s="3" t="s">
        <v>79</v>
      </c>
      <c r="BT166" s="3" t="s">
        <v>79</v>
      </c>
      <c r="BU166" s="3" t="s">
        <v>95</v>
      </c>
      <c r="BV166" s="3" t="s">
        <v>2435</v>
      </c>
      <c r="BW166" s="3" t="str">
        <f>HYPERLINK("https%3A%2F%2Fwww.webofscience.com%2Fwos%2Fwoscc%2Ffull-record%2FWOS:000319548000020","View Full Record in Web of Science")</f>
        <v>View Full Record in Web of Science</v>
      </c>
    </row>
    <row r="167" ht="12.75" customHeight="1">
      <c r="A167" s="13"/>
      <c r="B167" s="12"/>
      <c r="C167" s="13"/>
      <c r="D167" s="13" t="s">
        <v>185</v>
      </c>
      <c r="E167" s="3" t="s">
        <v>2436</v>
      </c>
      <c r="F167" s="3" t="s">
        <v>79</v>
      </c>
      <c r="G167" s="3" t="s">
        <v>79</v>
      </c>
      <c r="H167" s="3" t="s">
        <v>79</v>
      </c>
      <c r="I167" s="3" t="s">
        <v>2437</v>
      </c>
      <c r="J167" s="3" t="s">
        <v>79</v>
      </c>
      <c r="K167" s="3" t="s">
        <v>79</v>
      </c>
      <c r="L167" s="3" t="s">
        <v>2438</v>
      </c>
      <c r="M167" s="3" t="s">
        <v>410</v>
      </c>
      <c r="N167" s="3" t="s">
        <v>79</v>
      </c>
      <c r="O167" s="3" t="s">
        <v>79</v>
      </c>
      <c r="P167" s="3" t="s">
        <v>79</v>
      </c>
      <c r="Q167" s="3" t="s">
        <v>190</v>
      </c>
      <c r="R167" s="3" t="s">
        <v>79</v>
      </c>
      <c r="S167" s="3" t="s">
        <v>79</v>
      </c>
      <c r="T167" s="3" t="s">
        <v>79</v>
      </c>
      <c r="U167" s="3" t="s">
        <v>79</v>
      </c>
      <c r="V167" s="3" t="s">
        <v>79</v>
      </c>
      <c r="W167" s="3" t="s">
        <v>2439</v>
      </c>
      <c r="X167" s="3" t="s">
        <v>2440</v>
      </c>
      <c r="Y167" s="3" t="s">
        <v>2441</v>
      </c>
      <c r="Z167" s="3" t="s">
        <v>2442</v>
      </c>
      <c r="AA167" s="3" t="s">
        <v>888</v>
      </c>
      <c r="AB167" s="3" t="s">
        <v>2443</v>
      </c>
      <c r="AC167" s="3" t="s">
        <v>2444</v>
      </c>
      <c r="AD167" s="3" t="s">
        <v>2445</v>
      </c>
      <c r="AE167" s="3" t="s">
        <v>2446</v>
      </c>
      <c r="AF167" s="3" t="s">
        <v>79</v>
      </c>
      <c r="AG167" s="3" t="s">
        <v>79</v>
      </c>
      <c r="AH167" s="3" t="s">
        <v>79</v>
      </c>
      <c r="AI167" s="3" t="s">
        <v>79</v>
      </c>
      <c r="AJ167" s="3">
        <v>31.0</v>
      </c>
      <c r="AK167" s="3">
        <v>37.0</v>
      </c>
      <c r="AL167" s="3">
        <v>40.0</v>
      </c>
      <c r="AM167" s="3" t="s">
        <v>79</v>
      </c>
      <c r="AN167" s="3" t="s">
        <v>79</v>
      </c>
      <c r="AO167" s="3" t="s">
        <v>79</v>
      </c>
      <c r="AP167" s="3" t="s">
        <v>79</v>
      </c>
      <c r="AQ167" s="3" t="s">
        <v>79</v>
      </c>
      <c r="AR167" s="3" t="s">
        <v>79</v>
      </c>
      <c r="AS167" s="3" t="s">
        <v>79</v>
      </c>
      <c r="AT167" s="3" t="s">
        <v>79</v>
      </c>
      <c r="AU167" s="3" t="s">
        <v>79</v>
      </c>
      <c r="AV167" s="3" t="s">
        <v>79</v>
      </c>
      <c r="AW167" s="3" t="s">
        <v>527</v>
      </c>
      <c r="AX167" s="3">
        <v>2019.0</v>
      </c>
      <c r="AY167" s="3">
        <v>27.0</v>
      </c>
      <c r="AZ167" s="3">
        <v>6.0</v>
      </c>
      <c r="BA167" s="3" t="s">
        <v>79</v>
      </c>
      <c r="BB167" s="3" t="s">
        <v>79</v>
      </c>
      <c r="BC167" s="3" t="s">
        <v>79</v>
      </c>
      <c r="BD167" s="3" t="s">
        <v>79</v>
      </c>
      <c r="BE167" s="3">
        <v>1200.0</v>
      </c>
      <c r="BF167" s="3">
        <v>1208.0</v>
      </c>
      <c r="BG167" s="3" t="s">
        <v>79</v>
      </c>
      <c r="BH167" s="3" t="s">
        <v>2447</v>
      </c>
      <c r="BI167" s="8" t="str">
        <f>HYPERLINK("http://dx.doi.org/10.1109/TNSRE.2019.2915801","http://dx.doi.org/10.1109/TNSRE.2019.2915801")</f>
        <v>http://dx.doi.org/10.1109/TNSRE.2019.2915801</v>
      </c>
      <c r="BJ167" s="3" t="s">
        <v>79</v>
      </c>
      <c r="BK167" s="3" t="s">
        <v>79</v>
      </c>
      <c r="BL167" s="3" t="s">
        <v>79</v>
      </c>
      <c r="BM167" s="3" t="s">
        <v>79</v>
      </c>
      <c r="BN167" s="3" t="s">
        <v>79</v>
      </c>
      <c r="BO167" s="3" t="s">
        <v>109</v>
      </c>
      <c r="BP167" s="3" t="s">
        <v>79</v>
      </c>
      <c r="BQ167" s="3" t="s">
        <v>79</v>
      </c>
      <c r="BR167" s="3" t="s">
        <v>79</v>
      </c>
      <c r="BS167" s="3" t="s">
        <v>79</v>
      </c>
      <c r="BT167" s="3" t="s">
        <v>79</v>
      </c>
      <c r="BU167" s="3" t="s">
        <v>95</v>
      </c>
      <c r="BV167" s="3" t="s">
        <v>2448</v>
      </c>
      <c r="BW167" s="3" t="str">
        <f>HYPERLINK("https%3A%2F%2Fwww.webofscience.com%2Fwos%2Fwoscc%2Ffull-record%2FWOS:000471121000010","View Full Record in Web of Science")</f>
        <v>View Full Record in Web of Science</v>
      </c>
    </row>
    <row r="168" ht="12.75" customHeight="1">
      <c r="A168" s="13"/>
      <c r="B168" s="12"/>
      <c r="C168" s="13"/>
      <c r="D168" s="13" t="s">
        <v>185</v>
      </c>
      <c r="E168" s="3" t="s">
        <v>2449</v>
      </c>
      <c r="F168" s="3" t="s">
        <v>79</v>
      </c>
      <c r="G168" s="3" t="s">
        <v>79</v>
      </c>
      <c r="H168" s="3" t="s">
        <v>79</v>
      </c>
      <c r="I168" s="3" t="s">
        <v>2450</v>
      </c>
      <c r="J168" s="3" t="s">
        <v>79</v>
      </c>
      <c r="K168" s="3" t="s">
        <v>79</v>
      </c>
      <c r="L168" s="3" t="s">
        <v>2451</v>
      </c>
      <c r="M168" s="3" t="s">
        <v>518</v>
      </c>
      <c r="N168" s="3" t="s">
        <v>79</v>
      </c>
      <c r="O168" s="3" t="s">
        <v>79</v>
      </c>
      <c r="P168" s="3" t="s">
        <v>79</v>
      </c>
      <c r="Q168" s="3" t="s">
        <v>190</v>
      </c>
      <c r="R168" s="3" t="s">
        <v>79</v>
      </c>
      <c r="S168" s="3" t="s">
        <v>79</v>
      </c>
      <c r="T168" s="3" t="s">
        <v>79</v>
      </c>
      <c r="U168" s="3" t="s">
        <v>79</v>
      </c>
      <c r="V168" s="3" t="s">
        <v>79</v>
      </c>
      <c r="W168" s="3" t="s">
        <v>2452</v>
      </c>
      <c r="X168" s="3" t="s">
        <v>2453</v>
      </c>
      <c r="Y168" s="3" t="s">
        <v>2454</v>
      </c>
      <c r="Z168" s="3" t="s">
        <v>2455</v>
      </c>
      <c r="AA168" s="3" t="s">
        <v>2456</v>
      </c>
      <c r="AB168" s="3" t="s">
        <v>2457</v>
      </c>
      <c r="AC168" s="3" t="s">
        <v>2458</v>
      </c>
      <c r="AD168" s="3" t="s">
        <v>79</v>
      </c>
      <c r="AE168" s="3" t="s">
        <v>79</v>
      </c>
      <c r="AF168" s="3" t="s">
        <v>79</v>
      </c>
      <c r="AG168" s="3" t="s">
        <v>79</v>
      </c>
      <c r="AH168" s="3" t="s">
        <v>79</v>
      </c>
      <c r="AI168" s="3" t="s">
        <v>79</v>
      </c>
      <c r="AJ168" s="3">
        <v>55.0</v>
      </c>
      <c r="AK168" s="3">
        <v>12.0</v>
      </c>
      <c r="AL168" s="3">
        <v>13.0</v>
      </c>
      <c r="AM168" s="3" t="s">
        <v>79</v>
      </c>
      <c r="AN168" s="3" t="s">
        <v>79</v>
      </c>
      <c r="AO168" s="3" t="s">
        <v>79</v>
      </c>
      <c r="AP168" s="3" t="s">
        <v>79</v>
      </c>
      <c r="AQ168" s="3" t="s">
        <v>79</v>
      </c>
      <c r="AR168" s="3" t="s">
        <v>79</v>
      </c>
      <c r="AS168" s="3" t="s">
        <v>79</v>
      </c>
      <c r="AT168" s="3" t="s">
        <v>79</v>
      </c>
      <c r="AU168" s="3" t="s">
        <v>79</v>
      </c>
      <c r="AV168" s="3" t="s">
        <v>79</v>
      </c>
      <c r="AW168" s="3" t="s">
        <v>2263</v>
      </c>
      <c r="AX168" s="3">
        <v>2024.0</v>
      </c>
      <c r="AY168" s="3">
        <v>95.0</v>
      </c>
      <c r="AZ168" s="3" t="s">
        <v>79</v>
      </c>
      <c r="BA168" s="3" t="s">
        <v>2459</v>
      </c>
      <c r="BB168" s="3" t="s">
        <v>79</v>
      </c>
      <c r="BC168" s="3" t="s">
        <v>79</v>
      </c>
      <c r="BD168" s="3" t="s">
        <v>79</v>
      </c>
      <c r="BE168" s="3" t="s">
        <v>79</v>
      </c>
      <c r="BF168" s="3" t="s">
        <v>79</v>
      </c>
      <c r="BG168" s="3">
        <v>106401.0</v>
      </c>
      <c r="BH168" s="3" t="s">
        <v>2460</v>
      </c>
      <c r="BI168" s="8" t="str">
        <f>HYPERLINK("http://dx.doi.org/10.1016/j.bspc.2024.106401","http://dx.doi.org/10.1016/j.bspc.2024.106401")</f>
        <v>http://dx.doi.org/10.1016/j.bspc.2024.106401</v>
      </c>
      <c r="BJ168" s="3" t="s">
        <v>79</v>
      </c>
      <c r="BK168" s="3" t="s">
        <v>2461</v>
      </c>
      <c r="BL168" s="3" t="s">
        <v>79</v>
      </c>
      <c r="BM168" s="3" t="s">
        <v>79</v>
      </c>
      <c r="BN168" s="3" t="s">
        <v>79</v>
      </c>
      <c r="BO168" s="3" t="s">
        <v>139</v>
      </c>
      <c r="BP168" s="3" t="s">
        <v>79</v>
      </c>
      <c r="BQ168" s="3" t="s">
        <v>79</v>
      </c>
      <c r="BR168" s="3" t="s">
        <v>79</v>
      </c>
      <c r="BS168" s="3" t="s">
        <v>79</v>
      </c>
      <c r="BT168" s="3" t="s">
        <v>79</v>
      </c>
      <c r="BU168" s="3" t="s">
        <v>95</v>
      </c>
      <c r="BV168" s="3" t="s">
        <v>2462</v>
      </c>
      <c r="BW168" s="3" t="str">
        <f>HYPERLINK("https%3A%2F%2Fwww.webofscience.com%2Fwos%2Fwoscc%2Ffull-record%2FWOS:001236886400001","View Full Record in Web of Science")</f>
        <v>View Full Record in Web of Science</v>
      </c>
    </row>
    <row r="169" ht="12.75" customHeight="1">
      <c r="A169" s="13"/>
      <c r="B169" s="12"/>
      <c r="C169" s="13"/>
      <c r="D169" s="13" t="s">
        <v>77</v>
      </c>
      <c r="E169" s="3" t="s">
        <v>2463</v>
      </c>
      <c r="F169" s="3" t="s">
        <v>79</v>
      </c>
      <c r="G169" s="3" t="s">
        <v>79</v>
      </c>
      <c r="H169" s="3" t="s">
        <v>80</v>
      </c>
      <c r="I169" s="3" t="s">
        <v>2464</v>
      </c>
      <c r="J169" s="3" t="s">
        <v>79</v>
      </c>
      <c r="K169" s="3" t="s">
        <v>79</v>
      </c>
      <c r="L169" s="3" t="s">
        <v>2465</v>
      </c>
      <c r="M169" s="3" t="s">
        <v>2466</v>
      </c>
      <c r="N169" s="3" t="s">
        <v>2467</v>
      </c>
      <c r="O169" s="3" t="s">
        <v>79</v>
      </c>
      <c r="P169" s="3" t="s">
        <v>79</v>
      </c>
      <c r="Q169" s="3" t="s">
        <v>84</v>
      </c>
      <c r="R169" s="3" t="s">
        <v>79</v>
      </c>
      <c r="S169" s="3" t="s">
        <v>79</v>
      </c>
      <c r="T169" s="3" t="s">
        <v>79</v>
      </c>
      <c r="U169" s="3" t="s">
        <v>79</v>
      </c>
      <c r="V169" s="3" t="s">
        <v>79</v>
      </c>
      <c r="W169" s="3" t="s">
        <v>2468</v>
      </c>
      <c r="X169" s="3" t="s">
        <v>2469</v>
      </c>
      <c r="Y169" s="3" t="s">
        <v>2470</v>
      </c>
      <c r="Z169" s="3" t="s">
        <v>2471</v>
      </c>
      <c r="AA169" s="3" t="s">
        <v>2472</v>
      </c>
      <c r="AB169" s="3" t="s">
        <v>2473</v>
      </c>
      <c r="AC169" s="3" t="s">
        <v>2474</v>
      </c>
      <c r="AD169" s="3" t="s">
        <v>2475</v>
      </c>
      <c r="AE169" s="3" t="s">
        <v>79</v>
      </c>
      <c r="AF169" s="3" t="s">
        <v>79</v>
      </c>
      <c r="AG169" s="3" t="s">
        <v>79</v>
      </c>
      <c r="AH169" s="3" t="s">
        <v>79</v>
      </c>
      <c r="AI169" s="3" t="s">
        <v>79</v>
      </c>
      <c r="AJ169" s="3">
        <v>24.0</v>
      </c>
      <c r="AK169" s="3">
        <v>3.0</v>
      </c>
      <c r="AL169" s="3">
        <v>3.0</v>
      </c>
      <c r="AM169" s="3" t="s">
        <v>79</v>
      </c>
      <c r="AN169" s="3" t="s">
        <v>79</v>
      </c>
      <c r="AO169" s="3" t="s">
        <v>79</v>
      </c>
      <c r="AP169" s="3" t="s">
        <v>79</v>
      </c>
      <c r="AQ169" s="3" t="s">
        <v>79</v>
      </c>
      <c r="AR169" s="3" t="s">
        <v>79</v>
      </c>
      <c r="AS169" s="3" t="s">
        <v>79</v>
      </c>
      <c r="AT169" s="3" t="s">
        <v>79</v>
      </c>
      <c r="AU169" s="3" t="s">
        <v>79</v>
      </c>
      <c r="AV169" s="3" t="s">
        <v>79</v>
      </c>
      <c r="AW169" s="3" t="s">
        <v>79</v>
      </c>
      <c r="AX169" s="3">
        <v>2021.0</v>
      </c>
      <c r="AY169" s="3" t="s">
        <v>79</v>
      </c>
      <c r="AZ169" s="3" t="s">
        <v>79</v>
      </c>
      <c r="BA169" s="3" t="s">
        <v>79</v>
      </c>
      <c r="BB169" s="3" t="s">
        <v>79</v>
      </c>
      <c r="BC169" s="3" t="s">
        <v>79</v>
      </c>
      <c r="BD169" s="3" t="s">
        <v>79</v>
      </c>
      <c r="BE169" s="3" t="s">
        <v>79</v>
      </c>
      <c r="BF169" s="3" t="s">
        <v>79</v>
      </c>
      <c r="BG169" s="3" t="s">
        <v>79</v>
      </c>
      <c r="BH169" s="3" t="s">
        <v>2476</v>
      </c>
      <c r="BI169" s="8" t="str">
        <f>HYPERLINK("http://dx.doi.org/10.1109/M2VIP49856.2021.9665060","http://dx.doi.org/10.1109/M2VIP49856.2021.9665060")</f>
        <v>http://dx.doi.org/10.1109/M2VIP49856.2021.9665060</v>
      </c>
      <c r="BJ169" s="3" t="s">
        <v>79</v>
      </c>
      <c r="BK169" s="3" t="s">
        <v>79</v>
      </c>
      <c r="BL169" s="3" t="s">
        <v>79</v>
      </c>
      <c r="BM169" s="3" t="s">
        <v>79</v>
      </c>
      <c r="BN169" s="3" t="s">
        <v>79</v>
      </c>
      <c r="BO169" s="3" t="s">
        <v>2477</v>
      </c>
      <c r="BP169" s="3" t="s">
        <v>79</v>
      </c>
      <c r="BQ169" s="3" t="s">
        <v>79</v>
      </c>
      <c r="BR169" s="3" t="s">
        <v>79</v>
      </c>
      <c r="BS169" s="3" t="s">
        <v>79</v>
      </c>
      <c r="BT169" s="3" t="s">
        <v>79</v>
      </c>
      <c r="BU169" s="3" t="s">
        <v>95</v>
      </c>
      <c r="BV169" s="3" t="s">
        <v>2478</v>
      </c>
      <c r="BW169" s="3" t="str">
        <f>HYPERLINK("https%3A%2F%2Fwww.webofscience.com%2Fwos%2Fwoscc%2Ffull-record%2FWOS:000783817900059","View Full Record in Web of Science")</f>
        <v>View Full Record in Web of Science</v>
      </c>
    </row>
    <row r="170" ht="12.75" customHeight="1">
      <c r="A170" s="13"/>
      <c r="B170" s="12"/>
      <c r="C170" s="13"/>
      <c r="D170" s="13" t="s">
        <v>77</v>
      </c>
      <c r="E170" s="3" t="s">
        <v>2479</v>
      </c>
      <c r="F170" s="3" t="s">
        <v>79</v>
      </c>
      <c r="G170" s="3" t="s">
        <v>79</v>
      </c>
      <c r="H170" s="3" t="s">
        <v>80</v>
      </c>
      <c r="I170" s="3" t="s">
        <v>2480</v>
      </c>
      <c r="J170" s="3" t="s">
        <v>79</v>
      </c>
      <c r="K170" s="3" t="s">
        <v>79</v>
      </c>
      <c r="L170" s="3" t="s">
        <v>2481</v>
      </c>
      <c r="M170" s="3" t="s">
        <v>2482</v>
      </c>
      <c r="N170" s="3" t="s">
        <v>254</v>
      </c>
      <c r="O170" s="3" t="s">
        <v>79</v>
      </c>
      <c r="P170" s="3" t="s">
        <v>79</v>
      </c>
      <c r="Q170" s="3" t="s">
        <v>84</v>
      </c>
      <c r="R170" s="3" t="s">
        <v>79</v>
      </c>
      <c r="S170" s="3" t="s">
        <v>79</v>
      </c>
      <c r="T170" s="3" t="s">
        <v>79</v>
      </c>
      <c r="U170" s="3" t="s">
        <v>79</v>
      </c>
      <c r="V170" s="3" t="s">
        <v>79</v>
      </c>
      <c r="W170" s="3" t="s">
        <v>79</v>
      </c>
      <c r="X170" s="3" t="s">
        <v>2483</v>
      </c>
      <c r="Y170" s="3" t="s">
        <v>2484</v>
      </c>
      <c r="Z170" s="3" t="s">
        <v>2485</v>
      </c>
      <c r="AA170" s="3" t="s">
        <v>2380</v>
      </c>
      <c r="AB170" s="3" t="s">
        <v>2381</v>
      </c>
      <c r="AC170" s="3" t="s">
        <v>2486</v>
      </c>
      <c r="AD170" s="3" t="s">
        <v>2487</v>
      </c>
      <c r="AE170" s="3" t="s">
        <v>79</v>
      </c>
      <c r="AF170" s="3" t="s">
        <v>79</v>
      </c>
      <c r="AG170" s="3" t="s">
        <v>79</v>
      </c>
      <c r="AH170" s="3" t="s">
        <v>79</v>
      </c>
      <c r="AI170" s="3" t="s">
        <v>79</v>
      </c>
      <c r="AJ170" s="3">
        <v>13.0</v>
      </c>
      <c r="AK170" s="3">
        <v>13.0</v>
      </c>
      <c r="AL170" s="3">
        <v>14.0</v>
      </c>
      <c r="AM170" s="3" t="s">
        <v>79</v>
      </c>
      <c r="AN170" s="3" t="s">
        <v>79</v>
      </c>
      <c r="AO170" s="3" t="s">
        <v>79</v>
      </c>
      <c r="AP170" s="3" t="s">
        <v>79</v>
      </c>
      <c r="AQ170" s="3" t="s">
        <v>79</v>
      </c>
      <c r="AR170" s="3" t="s">
        <v>79</v>
      </c>
      <c r="AS170" s="3" t="s">
        <v>79</v>
      </c>
      <c r="AT170" s="3" t="s">
        <v>79</v>
      </c>
      <c r="AU170" s="3" t="s">
        <v>79</v>
      </c>
      <c r="AV170" s="3" t="s">
        <v>79</v>
      </c>
      <c r="AW170" s="3" t="s">
        <v>79</v>
      </c>
      <c r="AX170" s="3">
        <v>2013.0</v>
      </c>
      <c r="AY170" s="3" t="s">
        <v>79</v>
      </c>
      <c r="AZ170" s="3" t="s">
        <v>79</v>
      </c>
      <c r="BA170" s="3" t="s">
        <v>79</v>
      </c>
      <c r="BB170" s="3" t="s">
        <v>79</v>
      </c>
      <c r="BC170" s="3" t="s">
        <v>79</v>
      </c>
      <c r="BD170" s="3" t="s">
        <v>79</v>
      </c>
      <c r="BE170" s="3">
        <v>7056.0</v>
      </c>
      <c r="BF170" s="3">
        <v>7059.0</v>
      </c>
      <c r="BG170" s="3" t="s">
        <v>79</v>
      </c>
      <c r="BH170" s="3" t="s">
        <v>79</v>
      </c>
      <c r="BI170" s="3" t="s">
        <v>79</v>
      </c>
      <c r="BJ170" s="3" t="s">
        <v>79</v>
      </c>
      <c r="BK170" s="3" t="s">
        <v>79</v>
      </c>
      <c r="BL170" s="3" t="s">
        <v>79</v>
      </c>
      <c r="BM170" s="3" t="s">
        <v>79</v>
      </c>
      <c r="BN170" s="3" t="s">
        <v>79</v>
      </c>
      <c r="BO170" s="3" t="s">
        <v>139</v>
      </c>
      <c r="BP170" s="3" t="s">
        <v>79</v>
      </c>
      <c r="BQ170" s="3" t="s">
        <v>79</v>
      </c>
      <c r="BR170" s="3" t="s">
        <v>79</v>
      </c>
      <c r="BS170" s="3" t="s">
        <v>79</v>
      </c>
      <c r="BT170" s="3" t="s">
        <v>79</v>
      </c>
      <c r="BU170" s="3" t="s">
        <v>95</v>
      </c>
      <c r="BV170" s="3" t="s">
        <v>2488</v>
      </c>
      <c r="BW170" s="3" t="str">
        <f>HYPERLINK("https%3A%2F%2Fwww.webofscience.com%2Fwos%2Fwoscc%2Ffull-record%2FWOS:000341702107110","View Full Record in Web of Science")</f>
        <v>View Full Record in Web of Science</v>
      </c>
    </row>
    <row r="171" ht="12.75" customHeight="1">
      <c r="A171" s="13"/>
      <c r="B171" s="12"/>
      <c r="C171" s="13"/>
      <c r="D171" s="13" t="s">
        <v>77</v>
      </c>
      <c r="E171" s="3" t="s">
        <v>2489</v>
      </c>
      <c r="F171" s="3" t="s">
        <v>79</v>
      </c>
      <c r="G171" s="3" t="s">
        <v>79</v>
      </c>
      <c r="H171" s="3" t="s">
        <v>80</v>
      </c>
      <c r="I171" s="3" t="s">
        <v>2490</v>
      </c>
      <c r="J171" s="3" t="s">
        <v>79</v>
      </c>
      <c r="K171" s="3" t="s">
        <v>79</v>
      </c>
      <c r="L171" s="3" t="s">
        <v>2491</v>
      </c>
      <c r="M171" s="3" t="s">
        <v>2492</v>
      </c>
      <c r="N171" s="3" t="s">
        <v>79</v>
      </c>
      <c r="O171" s="3" t="s">
        <v>79</v>
      </c>
      <c r="P171" s="3" t="s">
        <v>79</v>
      </c>
      <c r="Q171" s="3" t="s">
        <v>84</v>
      </c>
      <c r="R171" s="3" t="s">
        <v>79</v>
      </c>
      <c r="S171" s="3" t="s">
        <v>79</v>
      </c>
      <c r="T171" s="3" t="s">
        <v>79</v>
      </c>
      <c r="U171" s="3" t="s">
        <v>79</v>
      </c>
      <c r="V171" s="3" t="s">
        <v>79</v>
      </c>
      <c r="W171" s="3" t="s">
        <v>2493</v>
      </c>
      <c r="X171" s="3" t="s">
        <v>2494</v>
      </c>
      <c r="Y171" s="3" t="s">
        <v>2495</v>
      </c>
      <c r="Z171" s="3" t="s">
        <v>2496</v>
      </c>
      <c r="AA171" s="3" t="s">
        <v>79</v>
      </c>
      <c r="AB171" s="3" t="s">
        <v>2497</v>
      </c>
      <c r="AC171" s="3" t="s">
        <v>2498</v>
      </c>
      <c r="AD171" s="3" t="s">
        <v>79</v>
      </c>
      <c r="AE171" s="3" t="s">
        <v>79</v>
      </c>
      <c r="AF171" s="3" t="s">
        <v>79</v>
      </c>
      <c r="AG171" s="3" t="s">
        <v>79</v>
      </c>
      <c r="AH171" s="3" t="s">
        <v>79</v>
      </c>
      <c r="AI171" s="3" t="s">
        <v>79</v>
      </c>
      <c r="AJ171" s="3">
        <v>31.0</v>
      </c>
      <c r="AK171" s="3">
        <v>2.0</v>
      </c>
      <c r="AL171" s="3">
        <v>3.0</v>
      </c>
      <c r="AM171" s="3" t="s">
        <v>79</v>
      </c>
      <c r="AN171" s="3" t="s">
        <v>79</v>
      </c>
      <c r="AO171" s="3" t="s">
        <v>79</v>
      </c>
      <c r="AP171" s="3" t="s">
        <v>79</v>
      </c>
      <c r="AQ171" s="3" t="s">
        <v>79</v>
      </c>
      <c r="AR171" s="3" t="s">
        <v>79</v>
      </c>
      <c r="AS171" s="3" t="s">
        <v>79</v>
      </c>
      <c r="AT171" s="3" t="s">
        <v>79</v>
      </c>
      <c r="AU171" s="3" t="s">
        <v>79</v>
      </c>
      <c r="AV171" s="3" t="s">
        <v>79</v>
      </c>
      <c r="AW171" s="3" t="s">
        <v>79</v>
      </c>
      <c r="AX171" s="3">
        <v>2017.0</v>
      </c>
      <c r="AY171" s="3" t="s">
        <v>79</v>
      </c>
      <c r="AZ171" s="3" t="s">
        <v>79</v>
      </c>
      <c r="BA171" s="3" t="s">
        <v>79</v>
      </c>
      <c r="BB171" s="3" t="s">
        <v>79</v>
      </c>
      <c r="BC171" s="3" t="s">
        <v>79</v>
      </c>
      <c r="BD171" s="3" t="s">
        <v>79</v>
      </c>
      <c r="BE171" s="3">
        <v>45.0</v>
      </c>
      <c r="BF171" s="3">
        <v>51.0</v>
      </c>
      <c r="BG171" s="3" t="s">
        <v>79</v>
      </c>
      <c r="BH171" s="3" t="s">
        <v>79</v>
      </c>
      <c r="BI171" s="3" t="s">
        <v>79</v>
      </c>
      <c r="BJ171" s="3" t="s">
        <v>79</v>
      </c>
      <c r="BK171" s="3" t="s">
        <v>79</v>
      </c>
      <c r="BL171" s="3" t="s">
        <v>79</v>
      </c>
      <c r="BM171" s="3" t="s">
        <v>79</v>
      </c>
      <c r="BN171" s="3" t="s">
        <v>79</v>
      </c>
      <c r="BO171" s="3" t="s">
        <v>217</v>
      </c>
      <c r="BP171" s="3" t="s">
        <v>79</v>
      </c>
      <c r="BQ171" s="3" t="s">
        <v>79</v>
      </c>
      <c r="BR171" s="3" t="s">
        <v>79</v>
      </c>
      <c r="BS171" s="3" t="s">
        <v>79</v>
      </c>
      <c r="BT171" s="3" t="s">
        <v>79</v>
      </c>
      <c r="BU171" s="3" t="s">
        <v>95</v>
      </c>
      <c r="BV171" s="3" t="s">
        <v>2499</v>
      </c>
      <c r="BW171" s="3" t="str">
        <f>HYPERLINK("https%3A%2F%2Fwww.webofscience.com%2Fwos%2Fwoscc%2Ffull-record%2FWOS:000425888700009","View Full Record in Web of Science")</f>
        <v>View Full Record in Web of Science</v>
      </c>
    </row>
    <row r="172" ht="12.75" customHeight="1">
      <c r="A172" s="13"/>
      <c r="B172" s="12"/>
      <c r="C172" s="13"/>
      <c r="D172" s="13" t="s">
        <v>185</v>
      </c>
      <c r="E172" s="3" t="s">
        <v>2500</v>
      </c>
      <c r="F172" s="3" t="s">
        <v>79</v>
      </c>
      <c r="G172" s="3" t="s">
        <v>79</v>
      </c>
      <c r="H172" s="3" t="s">
        <v>79</v>
      </c>
      <c r="I172" s="3" t="s">
        <v>2501</v>
      </c>
      <c r="J172" s="3" t="s">
        <v>79</v>
      </c>
      <c r="K172" s="3" t="s">
        <v>79</v>
      </c>
      <c r="L172" s="3" t="s">
        <v>2502</v>
      </c>
      <c r="M172" s="3" t="s">
        <v>2503</v>
      </c>
      <c r="N172" s="3" t="s">
        <v>79</v>
      </c>
      <c r="O172" s="3" t="s">
        <v>79</v>
      </c>
      <c r="P172" s="3" t="s">
        <v>79</v>
      </c>
      <c r="Q172" s="3" t="s">
        <v>190</v>
      </c>
      <c r="R172" s="3" t="s">
        <v>79</v>
      </c>
      <c r="S172" s="3" t="s">
        <v>79</v>
      </c>
      <c r="T172" s="3" t="s">
        <v>79</v>
      </c>
      <c r="U172" s="3" t="s">
        <v>79</v>
      </c>
      <c r="V172" s="3" t="s">
        <v>79</v>
      </c>
      <c r="W172" s="3" t="s">
        <v>2504</v>
      </c>
      <c r="X172" s="3" t="s">
        <v>79</v>
      </c>
      <c r="Y172" s="3" t="s">
        <v>2505</v>
      </c>
      <c r="Z172" s="3" t="s">
        <v>2506</v>
      </c>
      <c r="AA172" s="3" t="s">
        <v>2507</v>
      </c>
      <c r="AB172" s="3" t="s">
        <v>2508</v>
      </c>
      <c r="AC172" s="3" t="s">
        <v>2509</v>
      </c>
      <c r="AD172" s="3" t="s">
        <v>2510</v>
      </c>
      <c r="AE172" s="3" t="s">
        <v>2511</v>
      </c>
      <c r="AF172" s="3" t="s">
        <v>79</v>
      </c>
      <c r="AG172" s="3" t="s">
        <v>79</v>
      </c>
      <c r="AH172" s="3" t="s">
        <v>79</v>
      </c>
      <c r="AI172" s="3" t="s">
        <v>79</v>
      </c>
      <c r="AJ172" s="3">
        <v>55.0</v>
      </c>
      <c r="AK172" s="3">
        <v>107.0</v>
      </c>
      <c r="AL172" s="3">
        <v>119.0</v>
      </c>
      <c r="AM172" s="3" t="s">
        <v>79</v>
      </c>
      <c r="AN172" s="3" t="s">
        <v>79</v>
      </c>
      <c r="AO172" s="3" t="s">
        <v>79</v>
      </c>
      <c r="AP172" s="3" t="s">
        <v>79</v>
      </c>
      <c r="AQ172" s="3" t="s">
        <v>79</v>
      </c>
      <c r="AR172" s="3" t="s">
        <v>79</v>
      </c>
      <c r="AS172" s="3" t="s">
        <v>79</v>
      </c>
      <c r="AT172" s="3" t="s">
        <v>79</v>
      </c>
      <c r="AU172" s="3" t="s">
        <v>79</v>
      </c>
      <c r="AV172" s="3" t="s">
        <v>79</v>
      </c>
      <c r="AW172" s="3" t="s">
        <v>1147</v>
      </c>
      <c r="AX172" s="3">
        <v>2022.0</v>
      </c>
      <c r="AY172" s="3">
        <v>143.0</v>
      </c>
      <c r="AZ172" s="3" t="s">
        <v>79</v>
      </c>
      <c r="BA172" s="3" t="s">
        <v>79</v>
      </c>
      <c r="BB172" s="3" t="s">
        <v>79</v>
      </c>
      <c r="BC172" s="3" t="s">
        <v>79</v>
      </c>
      <c r="BD172" s="3" t="s">
        <v>79</v>
      </c>
      <c r="BE172" s="3" t="s">
        <v>79</v>
      </c>
      <c r="BF172" s="3" t="s">
        <v>79</v>
      </c>
      <c r="BG172" s="3">
        <v>105288.0</v>
      </c>
      <c r="BH172" s="3" t="s">
        <v>2512</v>
      </c>
      <c r="BI172" s="8" t="str">
        <f>HYPERLINK("http://dx.doi.org/10.1016/j.compbiomed.2022.105288","http://dx.doi.org/10.1016/j.compbiomed.2022.105288")</f>
        <v>http://dx.doi.org/10.1016/j.compbiomed.2022.105288</v>
      </c>
      <c r="BJ172" s="3" t="s">
        <v>79</v>
      </c>
      <c r="BK172" s="3" t="s">
        <v>2513</v>
      </c>
      <c r="BL172" s="3" t="s">
        <v>79</v>
      </c>
      <c r="BM172" s="3" t="s">
        <v>79</v>
      </c>
      <c r="BN172" s="3" t="s">
        <v>79</v>
      </c>
      <c r="BO172" s="3" t="s">
        <v>2514</v>
      </c>
      <c r="BP172" s="3" t="s">
        <v>79</v>
      </c>
      <c r="BQ172" s="3" t="s">
        <v>79</v>
      </c>
      <c r="BR172" s="3" t="s">
        <v>79</v>
      </c>
      <c r="BS172" s="3" t="s">
        <v>1485</v>
      </c>
      <c r="BT172" s="3" t="s">
        <v>79</v>
      </c>
      <c r="BU172" s="3" t="s">
        <v>95</v>
      </c>
      <c r="BV172" s="3" t="s">
        <v>2515</v>
      </c>
      <c r="BW172" s="3" t="str">
        <f>HYPERLINK("https%3A%2F%2Fwww.webofscience.com%2Fwos%2Fwoscc%2Ffull-record%2FWOS:000790189400003","View Full Record in Web of Science")</f>
        <v>View Full Record in Web of Science</v>
      </c>
    </row>
    <row r="173" ht="12.75" customHeight="1">
      <c r="A173" s="13"/>
      <c r="B173" s="12"/>
      <c r="C173" s="13"/>
      <c r="D173" s="13" t="s">
        <v>185</v>
      </c>
      <c r="E173" s="3" t="s">
        <v>2516</v>
      </c>
      <c r="F173" s="3" t="s">
        <v>79</v>
      </c>
      <c r="G173" s="3" t="s">
        <v>79</v>
      </c>
      <c r="H173" s="3" t="s">
        <v>79</v>
      </c>
      <c r="I173" s="3" t="s">
        <v>2517</v>
      </c>
      <c r="J173" s="3" t="s">
        <v>79</v>
      </c>
      <c r="K173" s="3" t="s">
        <v>79</v>
      </c>
      <c r="L173" s="3" t="s">
        <v>2518</v>
      </c>
      <c r="M173" s="3" t="s">
        <v>1166</v>
      </c>
      <c r="N173" s="3" t="s">
        <v>79</v>
      </c>
      <c r="O173" s="3" t="s">
        <v>79</v>
      </c>
      <c r="P173" s="3" t="s">
        <v>79</v>
      </c>
      <c r="Q173" s="3" t="s">
        <v>190</v>
      </c>
      <c r="R173" s="3" t="s">
        <v>79</v>
      </c>
      <c r="S173" s="3" t="s">
        <v>79</v>
      </c>
      <c r="T173" s="3" t="s">
        <v>79</v>
      </c>
      <c r="U173" s="3" t="s">
        <v>79</v>
      </c>
      <c r="V173" s="3" t="s">
        <v>79</v>
      </c>
      <c r="W173" s="3" t="s">
        <v>2519</v>
      </c>
      <c r="X173" s="3" t="s">
        <v>2520</v>
      </c>
      <c r="Y173" s="3" t="s">
        <v>2521</v>
      </c>
      <c r="Z173" s="3" t="s">
        <v>2522</v>
      </c>
      <c r="AA173" s="3" t="s">
        <v>2523</v>
      </c>
      <c r="AB173" s="3" t="s">
        <v>2524</v>
      </c>
      <c r="AC173" s="3" t="s">
        <v>2525</v>
      </c>
      <c r="AD173" s="3" t="s">
        <v>2526</v>
      </c>
      <c r="AE173" s="3" t="s">
        <v>79</v>
      </c>
      <c r="AF173" s="3" t="s">
        <v>79</v>
      </c>
      <c r="AG173" s="3" t="s">
        <v>79</v>
      </c>
      <c r="AH173" s="3" t="s">
        <v>79</v>
      </c>
      <c r="AI173" s="3" t="s">
        <v>79</v>
      </c>
      <c r="AJ173" s="3">
        <v>59.0</v>
      </c>
      <c r="AK173" s="3">
        <v>205.0</v>
      </c>
      <c r="AL173" s="3">
        <v>220.0</v>
      </c>
      <c r="AM173" s="3" t="s">
        <v>79</v>
      </c>
      <c r="AN173" s="3" t="s">
        <v>79</v>
      </c>
      <c r="AO173" s="3" t="s">
        <v>79</v>
      </c>
      <c r="AP173" s="3" t="s">
        <v>79</v>
      </c>
      <c r="AQ173" s="3" t="s">
        <v>79</v>
      </c>
      <c r="AR173" s="3" t="s">
        <v>79</v>
      </c>
      <c r="AS173" s="3" t="s">
        <v>79</v>
      </c>
      <c r="AT173" s="3" t="s">
        <v>79</v>
      </c>
      <c r="AU173" s="3" t="s">
        <v>79</v>
      </c>
      <c r="AV173" s="3" t="s">
        <v>79</v>
      </c>
      <c r="AW173" s="3" t="s">
        <v>2527</v>
      </c>
      <c r="AX173" s="3">
        <v>2014.0</v>
      </c>
      <c r="AY173" s="3">
        <v>8.0</v>
      </c>
      <c r="AZ173" s="3" t="s">
        <v>79</v>
      </c>
      <c r="BA173" s="3" t="s">
        <v>79</v>
      </c>
      <c r="BB173" s="3" t="s">
        <v>79</v>
      </c>
      <c r="BC173" s="3" t="s">
        <v>79</v>
      </c>
      <c r="BD173" s="3" t="s">
        <v>79</v>
      </c>
      <c r="BE173" s="3" t="s">
        <v>79</v>
      </c>
      <c r="BF173" s="3" t="s">
        <v>79</v>
      </c>
      <c r="BG173" s="3">
        <v>244.0</v>
      </c>
      <c r="BH173" s="3" t="s">
        <v>2528</v>
      </c>
      <c r="BI173" s="8" t="str">
        <f>HYPERLINK("http://dx.doi.org/10.3389/fnhum.2014.00244","http://dx.doi.org/10.3389/fnhum.2014.00244")</f>
        <v>http://dx.doi.org/10.3389/fnhum.2014.00244</v>
      </c>
      <c r="BJ173" s="3" t="s">
        <v>79</v>
      </c>
      <c r="BK173" s="3" t="s">
        <v>79</v>
      </c>
      <c r="BL173" s="3" t="s">
        <v>79</v>
      </c>
      <c r="BM173" s="3" t="s">
        <v>79</v>
      </c>
      <c r="BN173" s="3" t="s">
        <v>79</v>
      </c>
      <c r="BO173" s="3" t="s">
        <v>1178</v>
      </c>
      <c r="BP173" s="3" t="s">
        <v>79</v>
      </c>
      <c r="BQ173" s="3" t="s">
        <v>79</v>
      </c>
      <c r="BR173" s="3" t="s">
        <v>79</v>
      </c>
      <c r="BS173" s="3" t="s">
        <v>79</v>
      </c>
      <c r="BT173" s="3" t="s">
        <v>79</v>
      </c>
      <c r="BU173" s="3" t="s">
        <v>95</v>
      </c>
      <c r="BV173" s="3" t="s">
        <v>2529</v>
      </c>
      <c r="BW173" s="3" t="str">
        <f>HYPERLINK("https%3A%2F%2Fwww.webofscience.com%2Fwos%2Fwoscc%2Ffull-record%2FWOS:000335000500001","View Full Record in Web of Science")</f>
        <v>View Full Record in Web of Science</v>
      </c>
    </row>
    <row r="174" ht="12.75" customHeight="1">
      <c r="A174" s="13"/>
      <c r="B174" s="12"/>
      <c r="C174" s="13"/>
      <c r="D174" s="13" t="s">
        <v>77</v>
      </c>
      <c r="E174" s="3" t="s">
        <v>2530</v>
      </c>
      <c r="F174" s="3" t="s">
        <v>79</v>
      </c>
      <c r="G174" s="3" t="s">
        <v>79</v>
      </c>
      <c r="H174" s="3" t="s">
        <v>80</v>
      </c>
      <c r="I174" s="3" t="s">
        <v>2531</v>
      </c>
      <c r="J174" s="3" t="s">
        <v>79</v>
      </c>
      <c r="K174" s="3" t="s">
        <v>79</v>
      </c>
      <c r="L174" s="3" t="s">
        <v>2532</v>
      </c>
      <c r="M174" s="3" t="s">
        <v>2533</v>
      </c>
      <c r="N174" s="3" t="s">
        <v>1542</v>
      </c>
      <c r="O174" s="3" t="s">
        <v>79</v>
      </c>
      <c r="P174" s="3" t="s">
        <v>79</v>
      </c>
      <c r="Q174" s="3" t="s">
        <v>84</v>
      </c>
      <c r="R174" s="3" t="s">
        <v>79</v>
      </c>
      <c r="S174" s="3" t="s">
        <v>79</v>
      </c>
      <c r="T174" s="3" t="s">
        <v>79</v>
      </c>
      <c r="U174" s="3" t="s">
        <v>79</v>
      </c>
      <c r="V174" s="3" t="s">
        <v>79</v>
      </c>
      <c r="W174" s="3" t="s">
        <v>2534</v>
      </c>
      <c r="X174" s="3" t="s">
        <v>914</v>
      </c>
      <c r="Y174" s="3" t="s">
        <v>2535</v>
      </c>
      <c r="Z174" s="3" t="s">
        <v>2536</v>
      </c>
      <c r="AA174" s="3" t="s">
        <v>2537</v>
      </c>
      <c r="AB174" s="3" t="s">
        <v>2538</v>
      </c>
      <c r="AC174" s="3" t="s">
        <v>2539</v>
      </c>
      <c r="AD174" s="3" t="s">
        <v>2540</v>
      </c>
      <c r="AE174" s="3" t="s">
        <v>79</v>
      </c>
      <c r="AF174" s="3" t="s">
        <v>79</v>
      </c>
      <c r="AG174" s="3" t="s">
        <v>79</v>
      </c>
      <c r="AH174" s="3" t="s">
        <v>79</v>
      </c>
      <c r="AI174" s="3" t="s">
        <v>79</v>
      </c>
      <c r="AJ174" s="3">
        <v>14.0</v>
      </c>
      <c r="AK174" s="3">
        <v>2.0</v>
      </c>
      <c r="AL174" s="3">
        <v>2.0</v>
      </c>
      <c r="AM174" s="3" t="s">
        <v>79</v>
      </c>
      <c r="AN174" s="3" t="s">
        <v>79</v>
      </c>
      <c r="AO174" s="3" t="s">
        <v>79</v>
      </c>
      <c r="AP174" s="3" t="s">
        <v>79</v>
      </c>
      <c r="AQ174" s="3" t="s">
        <v>79</v>
      </c>
      <c r="AR174" s="3" t="s">
        <v>79</v>
      </c>
      <c r="AS174" s="3" t="s">
        <v>79</v>
      </c>
      <c r="AT174" s="3" t="s">
        <v>79</v>
      </c>
      <c r="AU174" s="3" t="s">
        <v>79</v>
      </c>
      <c r="AV174" s="3" t="s">
        <v>79</v>
      </c>
      <c r="AW174" s="3" t="s">
        <v>79</v>
      </c>
      <c r="AX174" s="3">
        <v>2013.0</v>
      </c>
      <c r="AY174" s="3" t="s">
        <v>79</v>
      </c>
      <c r="AZ174" s="3" t="s">
        <v>79</v>
      </c>
      <c r="BA174" s="3" t="s">
        <v>79</v>
      </c>
      <c r="BB174" s="3" t="s">
        <v>79</v>
      </c>
      <c r="BC174" s="3" t="s">
        <v>79</v>
      </c>
      <c r="BD174" s="3" t="s">
        <v>79</v>
      </c>
      <c r="BE174" s="3">
        <v>346.0</v>
      </c>
      <c r="BF174" s="3">
        <v>349.0</v>
      </c>
      <c r="BG174" s="3" t="s">
        <v>79</v>
      </c>
      <c r="BH174" s="3" t="s">
        <v>2541</v>
      </c>
      <c r="BI174" s="8" t="str">
        <f>HYPERLINK("http://dx.doi.org/10.1109/ISCID.2013.93","http://dx.doi.org/10.1109/ISCID.2013.93")</f>
        <v>http://dx.doi.org/10.1109/ISCID.2013.93</v>
      </c>
      <c r="BJ174" s="3" t="s">
        <v>79</v>
      </c>
      <c r="BK174" s="3" t="s">
        <v>79</v>
      </c>
      <c r="BL174" s="3" t="s">
        <v>79</v>
      </c>
      <c r="BM174" s="3" t="s">
        <v>79</v>
      </c>
      <c r="BN174" s="3" t="s">
        <v>79</v>
      </c>
      <c r="BO174" s="3" t="s">
        <v>152</v>
      </c>
      <c r="BP174" s="3" t="s">
        <v>79</v>
      </c>
      <c r="BQ174" s="3" t="s">
        <v>79</v>
      </c>
      <c r="BR174" s="3" t="s">
        <v>79</v>
      </c>
      <c r="BS174" s="3" t="s">
        <v>79</v>
      </c>
      <c r="BT174" s="3" t="s">
        <v>79</v>
      </c>
      <c r="BU174" s="3" t="s">
        <v>95</v>
      </c>
      <c r="BV174" s="3" t="s">
        <v>2542</v>
      </c>
      <c r="BW174" s="3" t="str">
        <f>HYPERLINK("https%3A%2F%2Fwww.webofscience.com%2Fwos%2Fwoscc%2Ffull-record%2FWOS:000355314400081","View Full Record in Web of Science")</f>
        <v>View Full Record in Web of Science</v>
      </c>
    </row>
    <row r="175" ht="12.75" customHeight="1">
      <c r="A175" s="13"/>
      <c r="B175" s="12"/>
      <c r="C175" s="13"/>
      <c r="D175" s="13" t="s">
        <v>185</v>
      </c>
      <c r="E175" s="3" t="s">
        <v>2543</v>
      </c>
      <c r="F175" s="3" t="s">
        <v>79</v>
      </c>
      <c r="G175" s="3" t="s">
        <v>79</v>
      </c>
      <c r="H175" s="3" t="s">
        <v>79</v>
      </c>
      <c r="I175" s="3" t="s">
        <v>2544</v>
      </c>
      <c r="J175" s="3" t="s">
        <v>79</v>
      </c>
      <c r="K175" s="3" t="s">
        <v>79</v>
      </c>
      <c r="L175" s="3" t="s">
        <v>2545</v>
      </c>
      <c r="M175" s="3" t="s">
        <v>518</v>
      </c>
      <c r="N175" s="3" t="s">
        <v>79</v>
      </c>
      <c r="O175" s="3" t="s">
        <v>79</v>
      </c>
      <c r="P175" s="3" t="s">
        <v>79</v>
      </c>
      <c r="Q175" s="3" t="s">
        <v>190</v>
      </c>
      <c r="R175" s="3" t="s">
        <v>79</v>
      </c>
      <c r="S175" s="3" t="s">
        <v>79</v>
      </c>
      <c r="T175" s="3" t="s">
        <v>79</v>
      </c>
      <c r="U175" s="3" t="s">
        <v>79</v>
      </c>
      <c r="V175" s="3" t="s">
        <v>79</v>
      </c>
      <c r="W175" s="3" t="s">
        <v>2546</v>
      </c>
      <c r="X175" s="3" t="s">
        <v>2547</v>
      </c>
      <c r="Y175" s="3" t="s">
        <v>2548</v>
      </c>
      <c r="Z175" s="3" t="s">
        <v>2549</v>
      </c>
      <c r="AA175" s="3" t="s">
        <v>2550</v>
      </c>
      <c r="AB175" s="3" t="s">
        <v>2551</v>
      </c>
      <c r="AC175" s="3" t="s">
        <v>2552</v>
      </c>
      <c r="AD175" s="3" t="s">
        <v>2553</v>
      </c>
      <c r="AE175" s="3" t="s">
        <v>2554</v>
      </c>
      <c r="AF175" s="3" t="s">
        <v>79</v>
      </c>
      <c r="AG175" s="3" t="s">
        <v>79</v>
      </c>
      <c r="AH175" s="3" t="s">
        <v>79</v>
      </c>
      <c r="AI175" s="3" t="s">
        <v>79</v>
      </c>
      <c r="AJ175" s="3">
        <v>23.0</v>
      </c>
      <c r="AK175" s="3">
        <v>8.0</v>
      </c>
      <c r="AL175" s="3">
        <v>9.0</v>
      </c>
      <c r="AM175" s="3" t="s">
        <v>79</v>
      </c>
      <c r="AN175" s="3" t="s">
        <v>79</v>
      </c>
      <c r="AO175" s="3" t="s">
        <v>79</v>
      </c>
      <c r="AP175" s="3" t="s">
        <v>79</v>
      </c>
      <c r="AQ175" s="3" t="s">
        <v>79</v>
      </c>
      <c r="AR175" s="3" t="s">
        <v>79</v>
      </c>
      <c r="AS175" s="3" t="s">
        <v>79</v>
      </c>
      <c r="AT175" s="3" t="s">
        <v>79</v>
      </c>
      <c r="AU175" s="3" t="s">
        <v>79</v>
      </c>
      <c r="AV175" s="3" t="s">
        <v>79</v>
      </c>
      <c r="AW175" s="3" t="s">
        <v>497</v>
      </c>
      <c r="AX175" s="3">
        <v>2021.0</v>
      </c>
      <c r="AY175" s="3">
        <v>69.0</v>
      </c>
      <c r="AZ175" s="3" t="s">
        <v>79</v>
      </c>
      <c r="BA175" s="3" t="s">
        <v>79</v>
      </c>
      <c r="BB175" s="3" t="s">
        <v>79</v>
      </c>
      <c r="BC175" s="3" t="s">
        <v>79</v>
      </c>
      <c r="BD175" s="3" t="s">
        <v>79</v>
      </c>
      <c r="BE175" s="3" t="s">
        <v>79</v>
      </c>
      <c r="BF175" s="3" t="s">
        <v>79</v>
      </c>
      <c r="BG175" s="3">
        <v>102907.0</v>
      </c>
      <c r="BH175" s="3" t="s">
        <v>2555</v>
      </c>
      <c r="BI175" s="8" t="str">
        <f>HYPERLINK("http://dx.doi.org/10.1016/j.bspc.2021.102907","http://dx.doi.org/10.1016/j.bspc.2021.102907")</f>
        <v>http://dx.doi.org/10.1016/j.bspc.2021.102907</v>
      </c>
      <c r="BJ175" s="3" t="s">
        <v>79</v>
      </c>
      <c r="BK175" s="3" t="s">
        <v>2556</v>
      </c>
      <c r="BL175" s="3" t="s">
        <v>79</v>
      </c>
      <c r="BM175" s="3" t="s">
        <v>79</v>
      </c>
      <c r="BN175" s="3" t="s">
        <v>79</v>
      </c>
      <c r="BO175" s="3" t="s">
        <v>139</v>
      </c>
      <c r="BP175" s="3" t="s">
        <v>79</v>
      </c>
      <c r="BQ175" s="3" t="s">
        <v>79</v>
      </c>
      <c r="BR175" s="3" t="s">
        <v>79</v>
      </c>
      <c r="BS175" s="3" t="s">
        <v>79</v>
      </c>
      <c r="BT175" s="3" t="s">
        <v>79</v>
      </c>
      <c r="BU175" s="3" t="s">
        <v>95</v>
      </c>
      <c r="BV175" s="3" t="s">
        <v>2557</v>
      </c>
      <c r="BW175" s="3" t="str">
        <f>HYPERLINK("https%3A%2F%2Fwww.webofscience.com%2Fwos%2Fwoscc%2Ffull-record%2FWOS:000685503100003","View Full Record in Web of Science")</f>
        <v>View Full Record in Web of Science</v>
      </c>
    </row>
    <row r="176" ht="12.75" customHeight="1">
      <c r="A176" s="13"/>
      <c r="B176" s="12"/>
      <c r="C176" s="13"/>
      <c r="D176" s="13" t="s">
        <v>77</v>
      </c>
      <c r="E176" s="3" t="s">
        <v>2558</v>
      </c>
      <c r="F176" s="3" t="s">
        <v>79</v>
      </c>
      <c r="G176" s="3" t="s">
        <v>79</v>
      </c>
      <c r="H176" s="3" t="s">
        <v>80</v>
      </c>
      <c r="I176" s="3" t="s">
        <v>2559</v>
      </c>
      <c r="J176" s="3" t="s">
        <v>79</v>
      </c>
      <c r="K176" s="3" t="s">
        <v>79</v>
      </c>
      <c r="L176" s="3" t="s">
        <v>2560</v>
      </c>
      <c r="M176" s="3" t="s">
        <v>2561</v>
      </c>
      <c r="N176" s="3" t="s">
        <v>79</v>
      </c>
      <c r="O176" s="3" t="s">
        <v>79</v>
      </c>
      <c r="P176" s="3" t="s">
        <v>79</v>
      </c>
      <c r="Q176" s="3" t="s">
        <v>84</v>
      </c>
      <c r="R176" s="3" t="s">
        <v>79</v>
      </c>
      <c r="S176" s="3" t="s">
        <v>79</v>
      </c>
      <c r="T176" s="3" t="s">
        <v>79</v>
      </c>
      <c r="U176" s="3" t="s">
        <v>79</v>
      </c>
      <c r="V176" s="3" t="s">
        <v>79</v>
      </c>
      <c r="W176" s="3" t="s">
        <v>2562</v>
      </c>
      <c r="X176" s="3" t="s">
        <v>2563</v>
      </c>
      <c r="Y176" s="3" t="s">
        <v>2564</v>
      </c>
      <c r="Z176" s="3" t="s">
        <v>2565</v>
      </c>
      <c r="AA176" s="3" t="s">
        <v>2566</v>
      </c>
      <c r="AB176" s="3" t="s">
        <v>2567</v>
      </c>
      <c r="AC176" s="3" t="s">
        <v>2568</v>
      </c>
      <c r="AD176" s="3" t="s">
        <v>2569</v>
      </c>
      <c r="AE176" s="3" t="s">
        <v>2570</v>
      </c>
      <c r="AF176" s="3" t="s">
        <v>79</v>
      </c>
      <c r="AG176" s="3" t="s">
        <v>79</v>
      </c>
      <c r="AH176" s="3" t="s">
        <v>79</v>
      </c>
      <c r="AI176" s="3" t="s">
        <v>79</v>
      </c>
      <c r="AJ176" s="3">
        <v>29.0</v>
      </c>
      <c r="AK176" s="3">
        <v>11.0</v>
      </c>
      <c r="AL176" s="3">
        <v>12.0</v>
      </c>
      <c r="AM176" s="3" t="s">
        <v>79</v>
      </c>
      <c r="AN176" s="3" t="s">
        <v>79</v>
      </c>
      <c r="AO176" s="3" t="s">
        <v>79</v>
      </c>
      <c r="AP176" s="3" t="s">
        <v>79</v>
      </c>
      <c r="AQ176" s="3" t="s">
        <v>79</v>
      </c>
      <c r="AR176" s="3" t="s">
        <v>79</v>
      </c>
      <c r="AS176" s="3" t="s">
        <v>79</v>
      </c>
      <c r="AT176" s="3" t="s">
        <v>79</v>
      </c>
      <c r="AU176" s="3" t="s">
        <v>79</v>
      </c>
      <c r="AV176" s="3" t="s">
        <v>79</v>
      </c>
      <c r="AW176" s="3" t="s">
        <v>79</v>
      </c>
      <c r="AX176" s="3">
        <v>2019.0</v>
      </c>
      <c r="AY176" s="3" t="s">
        <v>79</v>
      </c>
      <c r="AZ176" s="3" t="s">
        <v>79</v>
      </c>
      <c r="BA176" s="3" t="s">
        <v>79</v>
      </c>
      <c r="BB176" s="3" t="s">
        <v>79</v>
      </c>
      <c r="BC176" s="3" t="s">
        <v>79</v>
      </c>
      <c r="BD176" s="3" t="s">
        <v>79</v>
      </c>
      <c r="BE176" s="3">
        <v>195.0</v>
      </c>
      <c r="BF176" s="3">
        <v>202.0</v>
      </c>
      <c r="BG176" s="3" t="s">
        <v>79</v>
      </c>
      <c r="BH176" s="3" t="s">
        <v>2571</v>
      </c>
      <c r="BI176" s="8" t="str">
        <f>HYPERLINK("http://dx.doi.org/10.1109/AIKE.2019.00042","http://dx.doi.org/10.1109/AIKE.2019.00042")</f>
        <v>http://dx.doi.org/10.1109/AIKE.2019.00042</v>
      </c>
      <c r="BJ176" s="3" t="s">
        <v>79</v>
      </c>
      <c r="BK176" s="3" t="s">
        <v>79</v>
      </c>
      <c r="BL176" s="3" t="s">
        <v>79</v>
      </c>
      <c r="BM176" s="3" t="s">
        <v>79</v>
      </c>
      <c r="BN176" s="3" t="s">
        <v>79</v>
      </c>
      <c r="BO176" s="3" t="s">
        <v>275</v>
      </c>
      <c r="BP176" s="3" t="s">
        <v>79</v>
      </c>
      <c r="BQ176" s="3" t="s">
        <v>79</v>
      </c>
      <c r="BR176" s="3" t="s">
        <v>79</v>
      </c>
      <c r="BS176" s="3" t="s">
        <v>79</v>
      </c>
      <c r="BT176" s="3" t="s">
        <v>79</v>
      </c>
      <c r="BU176" s="3" t="s">
        <v>95</v>
      </c>
      <c r="BV176" s="3" t="s">
        <v>2572</v>
      </c>
      <c r="BW176" s="3" t="str">
        <f>HYPERLINK("https%3A%2F%2Fwww.webofscience.com%2Fwos%2Fwoscc%2Ffull-record%2FWOS:000502534100034","View Full Record in Web of Science")</f>
        <v>View Full Record in Web of Science</v>
      </c>
    </row>
    <row r="177" ht="12.75" customHeight="1">
      <c r="A177" s="13"/>
      <c r="B177" s="12"/>
      <c r="C177" s="13"/>
      <c r="D177" s="13" t="s">
        <v>77</v>
      </c>
      <c r="E177" s="3" t="s">
        <v>2573</v>
      </c>
      <c r="F177" s="3" t="s">
        <v>79</v>
      </c>
      <c r="G177" s="3" t="s">
        <v>79</v>
      </c>
      <c r="H177" s="3" t="s">
        <v>80</v>
      </c>
      <c r="I177" s="3" t="s">
        <v>2574</v>
      </c>
      <c r="J177" s="3" t="s">
        <v>79</v>
      </c>
      <c r="K177" s="3" t="s">
        <v>79</v>
      </c>
      <c r="L177" s="3" t="s">
        <v>2575</v>
      </c>
      <c r="M177" s="3" t="s">
        <v>2576</v>
      </c>
      <c r="N177" s="3" t="s">
        <v>79</v>
      </c>
      <c r="O177" s="3" t="s">
        <v>79</v>
      </c>
      <c r="P177" s="3" t="s">
        <v>79</v>
      </c>
      <c r="Q177" s="3" t="s">
        <v>84</v>
      </c>
      <c r="R177" s="3" t="s">
        <v>79</v>
      </c>
      <c r="S177" s="3" t="s">
        <v>79</v>
      </c>
      <c r="T177" s="3" t="s">
        <v>79</v>
      </c>
      <c r="U177" s="3" t="s">
        <v>79</v>
      </c>
      <c r="V177" s="3" t="s">
        <v>79</v>
      </c>
      <c r="W177" s="3" t="s">
        <v>2577</v>
      </c>
      <c r="X177" s="3" t="s">
        <v>79</v>
      </c>
      <c r="Y177" s="3" t="s">
        <v>2578</v>
      </c>
      <c r="Z177" s="3" t="s">
        <v>2579</v>
      </c>
      <c r="AA177" s="3" t="s">
        <v>2286</v>
      </c>
      <c r="AB177" s="3" t="s">
        <v>2580</v>
      </c>
      <c r="AC177" s="3" t="s">
        <v>2581</v>
      </c>
      <c r="AD177" s="3" t="s">
        <v>2582</v>
      </c>
      <c r="AE177" s="3" t="s">
        <v>2290</v>
      </c>
      <c r="AF177" s="3" t="s">
        <v>79</v>
      </c>
      <c r="AG177" s="3" t="s">
        <v>79</v>
      </c>
      <c r="AH177" s="3" t="s">
        <v>79</v>
      </c>
      <c r="AI177" s="3" t="s">
        <v>79</v>
      </c>
      <c r="AJ177" s="3">
        <v>22.0</v>
      </c>
      <c r="AK177" s="3">
        <v>17.0</v>
      </c>
      <c r="AL177" s="3">
        <v>20.0</v>
      </c>
      <c r="AM177" s="3" t="s">
        <v>79</v>
      </c>
      <c r="AN177" s="3" t="s">
        <v>79</v>
      </c>
      <c r="AO177" s="3" t="s">
        <v>79</v>
      </c>
      <c r="AP177" s="3" t="s">
        <v>79</v>
      </c>
      <c r="AQ177" s="3" t="s">
        <v>79</v>
      </c>
      <c r="AR177" s="3" t="s">
        <v>79</v>
      </c>
      <c r="AS177" s="3" t="s">
        <v>79</v>
      </c>
      <c r="AT177" s="3" t="s">
        <v>79</v>
      </c>
      <c r="AU177" s="3" t="s">
        <v>79</v>
      </c>
      <c r="AV177" s="3" t="s">
        <v>79</v>
      </c>
      <c r="AW177" s="3" t="s">
        <v>79</v>
      </c>
      <c r="AX177" s="3">
        <v>2014.0</v>
      </c>
      <c r="AY177" s="3" t="s">
        <v>79</v>
      </c>
      <c r="AZ177" s="3" t="s">
        <v>79</v>
      </c>
      <c r="BA177" s="3" t="s">
        <v>79</v>
      </c>
      <c r="BB177" s="3" t="s">
        <v>79</v>
      </c>
      <c r="BC177" s="3" t="s">
        <v>79</v>
      </c>
      <c r="BD177" s="3" t="s">
        <v>79</v>
      </c>
      <c r="BE177" s="3">
        <v>121.0</v>
      </c>
      <c r="BF177" s="3">
        <v>126.0</v>
      </c>
      <c r="BG177" s="3" t="s">
        <v>79</v>
      </c>
      <c r="BH177" s="3" t="s">
        <v>79</v>
      </c>
      <c r="BI177" s="3" t="s">
        <v>79</v>
      </c>
      <c r="BJ177" s="3" t="s">
        <v>79</v>
      </c>
      <c r="BK177" s="3" t="s">
        <v>79</v>
      </c>
      <c r="BL177" s="3" t="s">
        <v>79</v>
      </c>
      <c r="BM177" s="3" t="s">
        <v>79</v>
      </c>
      <c r="BN177" s="3" t="s">
        <v>79</v>
      </c>
      <c r="BO177" s="3" t="s">
        <v>275</v>
      </c>
      <c r="BP177" s="3" t="s">
        <v>79</v>
      </c>
      <c r="BQ177" s="3" t="s">
        <v>79</v>
      </c>
      <c r="BR177" s="3" t="s">
        <v>79</v>
      </c>
      <c r="BS177" s="3" t="s">
        <v>79</v>
      </c>
      <c r="BT177" s="3" t="s">
        <v>79</v>
      </c>
      <c r="BU177" s="3" t="s">
        <v>95</v>
      </c>
      <c r="BV177" s="3" t="s">
        <v>2583</v>
      </c>
      <c r="BW177" s="3" t="str">
        <f>HYPERLINK("https%3A%2F%2Fwww.webofscience.com%2Fwos%2Fwoscc%2Ffull-record%2FWOS:000380501000018","View Full Record in Web of Science")</f>
        <v>View Full Record in Web of Science</v>
      </c>
    </row>
    <row r="178" ht="12.75" customHeight="1">
      <c r="A178" s="13"/>
      <c r="B178" s="12"/>
      <c r="C178" s="13"/>
      <c r="D178" s="13" t="s">
        <v>77</v>
      </c>
      <c r="E178" s="3" t="s">
        <v>2584</v>
      </c>
      <c r="F178" s="3" t="s">
        <v>79</v>
      </c>
      <c r="G178" s="3" t="s">
        <v>79</v>
      </c>
      <c r="H178" s="3" t="s">
        <v>80</v>
      </c>
      <c r="I178" s="3" t="s">
        <v>2585</v>
      </c>
      <c r="J178" s="3" t="s">
        <v>79</v>
      </c>
      <c r="K178" s="3" t="s">
        <v>79</v>
      </c>
      <c r="L178" s="3" t="s">
        <v>2586</v>
      </c>
      <c r="M178" s="3" t="s">
        <v>2587</v>
      </c>
      <c r="N178" s="3" t="s">
        <v>79</v>
      </c>
      <c r="O178" s="3" t="s">
        <v>79</v>
      </c>
      <c r="P178" s="3" t="s">
        <v>79</v>
      </c>
      <c r="Q178" s="3" t="s">
        <v>84</v>
      </c>
      <c r="R178" s="3" t="s">
        <v>79</v>
      </c>
      <c r="S178" s="3" t="s">
        <v>79</v>
      </c>
      <c r="T178" s="3" t="s">
        <v>79</v>
      </c>
      <c r="U178" s="3" t="s">
        <v>79</v>
      </c>
      <c r="V178" s="3" t="s">
        <v>79</v>
      </c>
      <c r="W178" s="3" t="s">
        <v>2588</v>
      </c>
      <c r="X178" s="3" t="s">
        <v>2589</v>
      </c>
      <c r="Y178" s="3" t="s">
        <v>2590</v>
      </c>
      <c r="Z178" s="3" t="s">
        <v>2591</v>
      </c>
      <c r="AA178" s="3" t="s">
        <v>2592</v>
      </c>
      <c r="AB178" s="3" t="s">
        <v>2593</v>
      </c>
      <c r="AC178" s="3" t="s">
        <v>2594</v>
      </c>
      <c r="AD178" s="3" t="s">
        <v>79</v>
      </c>
      <c r="AE178" s="3" t="s">
        <v>79</v>
      </c>
      <c r="AF178" s="3" t="s">
        <v>79</v>
      </c>
      <c r="AG178" s="3" t="s">
        <v>79</v>
      </c>
      <c r="AH178" s="3" t="s">
        <v>79</v>
      </c>
      <c r="AI178" s="3" t="s">
        <v>79</v>
      </c>
      <c r="AJ178" s="3">
        <v>20.0</v>
      </c>
      <c r="AK178" s="3">
        <v>2.0</v>
      </c>
      <c r="AL178" s="3">
        <v>3.0</v>
      </c>
      <c r="AM178" s="3" t="s">
        <v>79</v>
      </c>
      <c r="AN178" s="3" t="s">
        <v>79</v>
      </c>
      <c r="AO178" s="3" t="s">
        <v>79</v>
      </c>
      <c r="AP178" s="3" t="s">
        <v>79</v>
      </c>
      <c r="AQ178" s="3" t="s">
        <v>79</v>
      </c>
      <c r="AR178" s="3" t="s">
        <v>79</v>
      </c>
      <c r="AS178" s="3" t="s">
        <v>79</v>
      </c>
      <c r="AT178" s="3" t="s">
        <v>79</v>
      </c>
      <c r="AU178" s="3" t="s">
        <v>79</v>
      </c>
      <c r="AV178" s="3" t="s">
        <v>79</v>
      </c>
      <c r="AW178" s="3" t="s">
        <v>79</v>
      </c>
      <c r="AX178" s="3">
        <v>2018.0</v>
      </c>
      <c r="AY178" s="3" t="s">
        <v>79</v>
      </c>
      <c r="AZ178" s="3" t="s">
        <v>79</v>
      </c>
      <c r="BA178" s="3" t="s">
        <v>79</v>
      </c>
      <c r="BB178" s="3" t="s">
        <v>79</v>
      </c>
      <c r="BC178" s="3" t="s">
        <v>79</v>
      </c>
      <c r="BD178" s="3" t="s">
        <v>79</v>
      </c>
      <c r="BE178" s="3">
        <v>152.0</v>
      </c>
      <c r="BF178" s="3">
        <v>157.0</v>
      </c>
      <c r="BG178" s="3" t="s">
        <v>79</v>
      </c>
      <c r="BH178" s="3" t="s">
        <v>79</v>
      </c>
      <c r="BI178" s="3" t="s">
        <v>79</v>
      </c>
      <c r="BJ178" s="3" t="s">
        <v>79</v>
      </c>
      <c r="BK178" s="3" t="s">
        <v>79</v>
      </c>
      <c r="BL178" s="3" t="s">
        <v>79</v>
      </c>
      <c r="BM178" s="3" t="s">
        <v>79</v>
      </c>
      <c r="BN178" s="3" t="s">
        <v>79</v>
      </c>
      <c r="BO178" s="3" t="s">
        <v>438</v>
      </c>
      <c r="BP178" s="3" t="s">
        <v>79</v>
      </c>
      <c r="BQ178" s="3" t="s">
        <v>79</v>
      </c>
      <c r="BR178" s="3" t="s">
        <v>79</v>
      </c>
      <c r="BS178" s="3" t="s">
        <v>79</v>
      </c>
      <c r="BT178" s="3" t="s">
        <v>79</v>
      </c>
      <c r="BU178" s="3" t="s">
        <v>95</v>
      </c>
      <c r="BV178" s="3" t="s">
        <v>2595</v>
      </c>
      <c r="BW178" s="3" t="str">
        <f>HYPERLINK("https%3A%2F%2Fwww.webofscience.com%2Fwos%2Fwoscc%2Ffull-record%2FWOS:000458327200027","View Full Record in Web of Science")</f>
        <v>View Full Record in Web of Science</v>
      </c>
    </row>
    <row r="179" ht="12.75" customHeight="1">
      <c r="A179" s="13"/>
      <c r="B179" s="12"/>
      <c r="C179" s="13"/>
      <c r="D179" s="13" t="s">
        <v>185</v>
      </c>
      <c r="E179" s="3" t="s">
        <v>2596</v>
      </c>
      <c r="F179" s="3" t="s">
        <v>79</v>
      </c>
      <c r="G179" s="3" t="s">
        <v>79</v>
      </c>
      <c r="H179" s="3" t="s">
        <v>79</v>
      </c>
      <c r="I179" s="3" t="s">
        <v>2597</v>
      </c>
      <c r="J179" s="3" t="s">
        <v>79</v>
      </c>
      <c r="K179" s="3" t="s">
        <v>79</v>
      </c>
      <c r="L179" s="3" t="s">
        <v>2598</v>
      </c>
      <c r="M179" s="3" t="s">
        <v>518</v>
      </c>
      <c r="N179" s="3" t="s">
        <v>79</v>
      </c>
      <c r="O179" s="3" t="s">
        <v>79</v>
      </c>
      <c r="P179" s="3" t="s">
        <v>79</v>
      </c>
      <c r="Q179" s="3" t="s">
        <v>190</v>
      </c>
      <c r="R179" s="3" t="s">
        <v>79</v>
      </c>
      <c r="S179" s="3" t="s">
        <v>79</v>
      </c>
      <c r="T179" s="3" t="s">
        <v>79</v>
      </c>
      <c r="U179" s="3" t="s">
        <v>79</v>
      </c>
      <c r="V179" s="3" t="s">
        <v>79</v>
      </c>
      <c r="W179" s="3" t="s">
        <v>2599</v>
      </c>
      <c r="X179" s="3" t="s">
        <v>2600</v>
      </c>
      <c r="Y179" s="3" t="s">
        <v>2601</v>
      </c>
      <c r="Z179" s="3" t="s">
        <v>2602</v>
      </c>
      <c r="AA179" s="3" t="s">
        <v>79</v>
      </c>
      <c r="AB179" s="3" t="s">
        <v>2603</v>
      </c>
      <c r="AC179" s="3" t="s">
        <v>2604</v>
      </c>
      <c r="AD179" s="3" t="s">
        <v>2605</v>
      </c>
      <c r="AE179" s="3" t="s">
        <v>79</v>
      </c>
      <c r="AF179" s="3" t="s">
        <v>79</v>
      </c>
      <c r="AG179" s="3" t="s">
        <v>79</v>
      </c>
      <c r="AH179" s="3" t="s">
        <v>79</v>
      </c>
      <c r="AI179" s="3" t="s">
        <v>79</v>
      </c>
      <c r="AJ179" s="3">
        <v>80.0</v>
      </c>
      <c r="AK179" s="3">
        <v>0.0</v>
      </c>
      <c r="AL179" s="3">
        <v>0.0</v>
      </c>
      <c r="AM179" s="3" t="s">
        <v>79</v>
      </c>
      <c r="AN179" s="3" t="s">
        <v>79</v>
      </c>
      <c r="AO179" s="3" t="s">
        <v>79</v>
      </c>
      <c r="AP179" s="3" t="s">
        <v>79</v>
      </c>
      <c r="AQ179" s="3" t="s">
        <v>79</v>
      </c>
      <c r="AR179" s="3" t="s">
        <v>79</v>
      </c>
      <c r="AS179" s="3" t="s">
        <v>79</v>
      </c>
      <c r="AT179" s="3" t="s">
        <v>79</v>
      </c>
      <c r="AU179" s="3" t="s">
        <v>79</v>
      </c>
      <c r="AV179" s="3" t="s">
        <v>79</v>
      </c>
      <c r="AW179" s="3" t="s">
        <v>575</v>
      </c>
      <c r="AX179" s="3">
        <v>2025.0</v>
      </c>
      <c r="AY179" s="3">
        <v>105.0</v>
      </c>
      <c r="AZ179" s="3" t="s">
        <v>79</v>
      </c>
      <c r="BA179" s="3" t="s">
        <v>79</v>
      </c>
      <c r="BB179" s="3" t="s">
        <v>79</v>
      </c>
      <c r="BC179" s="3" t="s">
        <v>79</v>
      </c>
      <c r="BD179" s="3" t="s">
        <v>79</v>
      </c>
      <c r="BE179" s="3" t="s">
        <v>79</v>
      </c>
      <c r="BF179" s="3" t="s">
        <v>79</v>
      </c>
      <c r="BG179" s="3">
        <v>107552.0</v>
      </c>
      <c r="BH179" s="3" t="s">
        <v>2606</v>
      </c>
      <c r="BI179" s="8" t="str">
        <f>HYPERLINK("http://dx.doi.org/10.1016/j.bspc.2025.107552","http://dx.doi.org/10.1016/j.bspc.2025.107552")</f>
        <v>http://dx.doi.org/10.1016/j.bspc.2025.107552</v>
      </c>
      <c r="BJ179" s="3" t="s">
        <v>79</v>
      </c>
      <c r="BK179" s="3" t="s">
        <v>2093</v>
      </c>
      <c r="BL179" s="3" t="s">
        <v>79</v>
      </c>
      <c r="BM179" s="3" t="s">
        <v>79</v>
      </c>
      <c r="BN179" s="3" t="s">
        <v>79</v>
      </c>
      <c r="BO179" s="3" t="s">
        <v>139</v>
      </c>
      <c r="BP179" s="3" t="s">
        <v>79</v>
      </c>
      <c r="BQ179" s="3" t="s">
        <v>79</v>
      </c>
      <c r="BR179" s="3" t="s">
        <v>79</v>
      </c>
      <c r="BS179" s="3" t="s">
        <v>79</v>
      </c>
      <c r="BT179" s="3" t="s">
        <v>79</v>
      </c>
      <c r="BU179" s="3" t="s">
        <v>95</v>
      </c>
      <c r="BV179" s="3" t="s">
        <v>2607</v>
      </c>
      <c r="BW179" s="3" t="str">
        <f>HYPERLINK("https%3A%2F%2Fwww.webofscience.com%2Fwos%2Fwoscc%2Ffull-record%2FWOS:001424135600001","View Full Record in Web of Science")</f>
        <v>View Full Record in Web of Science</v>
      </c>
    </row>
    <row r="180" ht="12.75" customHeight="1">
      <c r="A180" s="13"/>
      <c r="B180" s="12"/>
      <c r="C180" s="13"/>
      <c r="D180" s="13" t="s">
        <v>185</v>
      </c>
      <c r="E180" s="3" t="s">
        <v>2608</v>
      </c>
      <c r="F180" s="3" t="s">
        <v>79</v>
      </c>
      <c r="G180" s="3" t="s">
        <v>79</v>
      </c>
      <c r="H180" s="3" t="s">
        <v>79</v>
      </c>
      <c r="I180" s="3" t="s">
        <v>2609</v>
      </c>
      <c r="J180" s="3" t="s">
        <v>79</v>
      </c>
      <c r="K180" s="3" t="s">
        <v>79</v>
      </c>
      <c r="L180" s="3" t="s">
        <v>2610</v>
      </c>
      <c r="M180" s="3" t="s">
        <v>410</v>
      </c>
      <c r="N180" s="3" t="s">
        <v>79</v>
      </c>
      <c r="O180" s="3" t="s">
        <v>79</v>
      </c>
      <c r="P180" s="3" t="s">
        <v>79</v>
      </c>
      <c r="Q180" s="3" t="s">
        <v>190</v>
      </c>
      <c r="R180" s="3" t="s">
        <v>79</v>
      </c>
      <c r="S180" s="3" t="s">
        <v>79</v>
      </c>
      <c r="T180" s="3" t="s">
        <v>79</v>
      </c>
      <c r="U180" s="3" t="s">
        <v>79</v>
      </c>
      <c r="V180" s="3" t="s">
        <v>79</v>
      </c>
      <c r="W180" s="3" t="s">
        <v>2611</v>
      </c>
      <c r="X180" s="3" t="s">
        <v>2612</v>
      </c>
      <c r="Y180" s="3" t="s">
        <v>2613</v>
      </c>
      <c r="Z180" s="3" t="s">
        <v>2614</v>
      </c>
      <c r="AA180" s="3" t="s">
        <v>2615</v>
      </c>
      <c r="AB180" s="3" t="s">
        <v>2616</v>
      </c>
      <c r="AC180" s="3" t="s">
        <v>2617</v>
      </c>
      <c r="AD180" s="3" t="s">
        <v>79</v>
      </c>
      <c r="AE180" s="3" t="s">
        <v>2618</v>
      </c>
      <c r="AF180" s="3" t="s">
        <v>79</v>
      </c>
      <c r="AG180" s="3" t="s">
        <v>79</v>
      </c>
      <c r="AH180" s="3" t="s">
        <v>79</v>
      </c>
      <c r="AI180" s="3" t="s">
        <v>79</v>
      </c>
      <c r="AJ180" s="3">
        <v>34.0</v>
      </c>
      <c r="AK180" s="3">
        <v>32.0</v>
      </c>
      <c r="AL180" s="3">
        <v>33.0</v>
      </c>
      <c r="AM180" s="3" t="s">
        <v>79</v>
      </c>
      <c r="AN180" s="3" t="s">
        <v>79</v>
      </c>
      <c r="AO180" s="3" t="s">
        <v>79</v>
      </c>
      <c r="AP180" s="3" t="s">
        <v>79</v>
      </c>
      <c r="AQ180" s="3" t="s">
        <v>79</v>
      </c>
      <c r="AR180" s="3" t="s">
        <v>79</v>
      </c>
      <c r="AS180" s="3" t="s">
        <v>79</v>
      </c>
      <c r="AT180" s="3" t="s">
        <v>79</v>
      </c>
      <c r="AU180" s="3" t="s">
        <v>79</v>
      </c>
      <c r="AV180" s="3" t="s">
        <v>79</v>
      </c>
      <c r="AW180" s="3" t="s">
        <v>695</v>
      </c>
      <c r="AX180" s="3">
        <v>2018.0</v>
      </c>
      <c r="AY180" s="3">
        <v>26.0</v>
      </c>
      <c r="AZ180" s="3">
        <v>3.0</v>
      </c>
      <c r="BA180" s="3" t="s">
        <v>79</v>
      </c>
      <c r="BB180" s="3" t="s">
        <v>79</v>
      </c>
      <c r="BC180" s="3" t="s">
        <v>79</v>
      </c>
      <c r="BD180" s="3" t="s">
        <v>79</v>
      </c>
      <c r="BE180" s="3">
        <v>666.0</v>
      </c>
      <c r="BF180" s="3">
        <v>674.0</v>
      </c>
      <c r="BG180" s="3" t="s">
        <v>79</v>
      </c>
      <c r="BH180" s="3" t="s">
        <v>2619</v>
      </c>
      <c r="BI180" s="8" t="str">
        <f>HYPERLINK("http://dx.doi.org/10.1109/TNSRE.2018.2792481","http://dx.doi.org/10.1109/TNSRE.2018.2792481")</f>
        <v>http://dx.doi.org/10.1109/TNSRE.2018.2792481</v>
      </c>
      <c r="BJ180" s="3" t="s">
        <v>79</v>
      </c>
      <c r="BK180" s="3" t="s">
        <v>79</v>
      </c>
      <c r="BL180" s="3" t="s">
        <v>79</v>
      </c>
      <c r="BM180" s="3" t="s">
        <v>79</v>
      </c>
      <c r="BN180" s="3" t="s">
        <v>79</v>
      </c>
      <c r="BO180" s="3" t="s">
        <v>109</v>
      </c>
      <c r="BP180" s="3" t="s">
        <v>79</v>
      </c>
      <c r="BQ180" s="3" t="s">
        <v>79</v>
      </c>
      <c r="BR180" s="3" t="s">
        <v>79</v>
      </c>
      <c r="BS180" s="3" t="s">
        <v>79</v>
      </c>
      <c r="BT180" s="3" t="s">
        <v>79</v>
      </c>
      <c r="BU180" s="3" t="s">
        <v>95</v>
      </c>
      <c r="BV180" s="3" t="s">
        <v>2620</v>
      </c>
      <c r="BW180" s="3" t="str">
        <f>HYPERLINK("https%3A%2F%2Fwww.webofscience.com%2Fwos%2Fwoscc%2Ffull-record%2FWOS:000427225600014","View Full Record in Web of Science")</f>
        <v>View Full Record in Web of Science</v>
      </c>
    </row>
    <row r="181" ht="12.75" customHeight="1">
      <c r="A181" s="13"/>
      <c r="B181" s="12"/>
      <c r="C181" s="13"/>
      <c r="D181" s="13" t="s">
        <v>185</v>
      </c>
      <c r="E181" s="3" t="s">
        <v>2621</v>
      </c>
      <c r="F181" s="3" t="s">
        <v>79</v>
      </c>
      <c r="G181" s="3" t="s">
        <v>79</v>
      </c>
      <c r="H181" s="3" t="s">
        <v>79</v>
      </c>
      <c r="I181" s="3" t="s">
        <v>2622</v>
      </c>
      <c r="J181" s="3" t="s">
        <v>79</v>
      </c>
      <c r="K181" s="3" t="s">
        <v>79</v>
      </c>
      <c r="L181" s="3" t="s">
        <v>2623</v>
      </c>
      <c r="M181" s="3" t="s">
        <v>2624</v>
      </c>
      <c r="N181" s="3" t="s">
        <v>79</v>
      </c>
      <c r="O181" s="3" t="s">
        <v>79</v>
      </c>
      <c r="P181" s="3" t="s">
        <v>79</v>
      </c>
      <c r="Q181" s="3" t="s">
        <v>2625</v>
      </c>
      <c r="R181" s="3" t="s">
        <v>79</v>
      </c>
      <c r="S181" s="3" t="s">
        <v>79</v>
      </c>
      <c r="T181" s="3" t="s">
        <v>79</v>
      </c>
      <c r="U181" s="3" t="s">
        <v>79</v>
      </c>
      <c r="V181" s="3" t="s">
        <v>79</v>
      </c>
      <c r="W181" s="3" t="s">
        <v>79</v>
      </c>
      <c r="X181" s="3" t="s">
        <v>2626</v>
      </c>
      <c r="Y181" s="3" t="s">
        <v>2627</v>
      </c>
      <c r="Z181" s="3" t="s">
        <v>2628</v>
      </c>
      <c r="AA181" s="3" t="s">
        <v>2629</v>
      </c>
      <c r="AB181" s="3" t="s">
        <v>2630</v>
      </c>
      <c r="AC181" s="3" t="s">
        <v>2232</v>
      </c>
      <c r="AD181" s="3" t="s">
        <v>2631</v>
      </c>
      <c r="AE181" s="3" t="s">
        <v>2632</v>
      </c>
      <c r="AF181" s="3" t="s">
        <v>79</v>
      </c>
      <c r="AG181" s="3" t="s">
        <v>79</v>
      </c>
      <c r="AH181" s="3" t="s">
        <v>79</v>
      </c>
      <c r="AI181" s="3" t="s">
        <v>79</v>
      </c>
      <c r="AJ181" s="3">
        <v>54.0</v>
      </c>
      <c r="AK181" s="3">
        <v>3.0</v>
      </c>
      <c r="AL181" s="3">
        <v>4.0</v>
      </c>
      <c r="AM181" s="3" t="s">
        <v>79</v>
      </c>
      <c r="AN181" s="3" t="s">
        <v>79</v>
      </c>
      <c r="AO181" s="3" t="s">
        <v>79</v>
      </c>
      <c r="AP181" s="3" t="s">
        <v>79</v>
      </c>
      <c r="AQ181" s="3" t="s">
        <v>79</v>
      </c>
      <c r="AR181" s="3" t="s">
        <v>79</v>
      </c>
      <c r="AS181" s="3" t="s">
        <v>79</v>
      </c>
      <c r="AT181" s="3" t="s">
        <v>79</v>
      </c>
      <c r="AU181" s="3" t="s">
        <v>79</v>
      </c>
      <c r="AV181" s="3" t="s">
        <v>79</v>
      </c>
      <c r="AW181" s="3" t="s">
        <v>2633</v>
      </c>
      <c r="AX181" s="3">
        <v>2023.0</v>
      </c>
      <c r="AY181" s="3">
        <v>10.0</v>
      </c>
      <c r="AZ181" s="3">
        <v>1.0</v>
      </c>
      <c r="BA181" s="3" t="s">
        <v>79</v>
      </c>
      <c r="BB181" s="3" t="s">
        <v>79</v>
      </c>
      <c r="BC181" s="3" t="s">
        <v>79</v>
      </c>
      <c r="BD181" s="3" t="s">
        <v>79</v>
      </c>
      <c r="BE181" s="3" t="s">
        <v>79</v>
      </c>
      <c r="BF181" s="3" t="s">
        <v>79</v>
      </c>
      <c r="BG181" s="3">
        <v>385.0</v>
      </c>
      <c r="BH181" s="3" t="s">
        <v>2634</v>
      </c>
      <c r="BI181" s="8" t="str">
        <f>HYPERLINK("http://dx.doi.org/10.1038/s41597-023-02260-6","http://dx.doi.org/10.1038/s41597-023-02260-6")</f>
        <v>http://dx.doi.org/10.1038/s41597-023-02260-6</v>
      </c>
      <c r="BJ181" s="3" t="s">
        <v>79</v>
      </c>
      <c r="BK181" s="3" t="s">
        <v>79</v>
      </c>
      <c r="BL181" s="3" t="s">
        <v>79</v>
      </c>
      <c r="BM181" s="3" t="s">
        <v>79</v>
      </c>
      <c r="BN181" s="3" t="s">
        <v>79</v>
      </c>
      <c r="BO181" s="3" t="s">
        <v>606</v>
      </c>
      <c r="BP181" s="3" t="s">
        <v>79</v>
      </c>
      <c r="BQ181" s="3" t="s">
        <v>79</v>
      </c>
      <c r="BR181" s="3" t="s">
        <v>79</v>
      </c>
      <c r="BS181" s="3" t="s">
        <v>79</v>
      </c>
      <c r="BT181" s="3" t="s">
        <v>79</v>
      </c>
      <c r="BU181" s="3" t="s">
        <v>95</v>
      </c>
      <c r="BV181" s="3" t="s">
        <v>2635</v>
      </c>
      <c r="BW181" s="3" t="str">
        <f>HYPERLINK("https%3A%2F%2Fwww.webofscience.com%2Fwos%2Fwoscc%2Ffull-record%2FWOS:001008524700002","View Full Record in Web of Science")</f>
        <v>View Full Record in Web of Science</v>
      </c>
    </row>
    <row r="182" ht="12.75" customHeight="1">
      <c r="A182" s="13"/>
      <c r="B182" s="12"/>
      <c r="C182" s="13"/>
      <c r="D182" s="13" t="s">
        <v>185</v>
      </c>
      <c r="E182" s="3" t="s">
        <v>2636</v>
      </c>
      <c r="F182" s="3" t="s">
        <v>79</v>
      </c>
      <c r="G182" s="3" t="s">
        <v>79</v>
      </c>
      <c r="H182" s="3" t="s">
        <v>79</v>
      </c>
      <c r="I182" s="3" t="s">
        <v>2637</v>
      </c>
      <c r="J182" s="3" t="s">
        <v>79</v>
      </c>
      <c r="K182" s="3" t="s">
        <v>79</v>
      </c>
      <c r="L182" s="3" t="s">
        <v>2638</v>
      </c>
      <c r="M182" s="3" t="s">
        <v>2639</v>
      </c>
      <c r="N182" s="3" t="s">
        <v>79</v>
      </c>
      <c r="O182" s="3" t="s">
        <v>79</v>
      </c>
      <c r="P182" s="3" t="s">
        <v>79</v>
      </c>
      <c r="Q182" s="3" t="s">
        <v>190</v>
      </c>
      <c r="R182" s="3" t="s">
        <v>79</v>
      </c>
      <c r="S182" s="3" t="s">
        <v>79</v>
      </c>
      <c r="T182" s="3" t="s">
        <v>79</v>
      </c>
      <c r="U182" s="3" t="s">
        <v>79</v>
      </c>
      <c r="V182" s="3" t="s">
        <v>79</v>
      </c>
      <c r="W182" s="3" t="s">
        <v>2640</v>
      </c>
      <c r="X182" s="3" t="s">
        <v>79</v>
      </c>
      <c r="Y182" s="3" t="s">
        <v>2641</v>
      </c>
      <c r="Z182" s="3" t="s">
        <v>2642</v>
      </c>
      <c r="AA182" s="3" t="s">
        <v>2643</v>
      </c>
      <c r="AB182" s="3" t="s">
        <v>2644</v>
      </c>
      <c r="AC182" s="3" t="s">
        <v>2645</v>
      </c>
      <c r="AD182" s="3" t="s">
        <v>79</v>
      </c>
      <c r="AE182" s="3" t="s">
        <v>79</v>
      </c>
      <c r="AF182" s="3" t="s">
        <v>79</v>
      </c>
      <c r="AG182" s="3" t="s">
        <v>79</v>
      </c>
      <c r="AH182" s="3" t="s">
        <v>79</v>
      </c>
      <c r="AI182" s="3" t="s">
        <v>79</v>
      </c>
      <c r="AJ182" s="3">
        <v>18.0</v>
      </c>
      <c r="AK182" s="3">
        <v>1.0</v>
      </c>
      <c r="AL182" s="3">
        <v>1.0</v>
      </c>
      <c r="AM182" s="3" t="s">
        <v>79</v>
      </c>
      <c r="AN182" s="3" t="s">
        <v>79</v>
      </c>
      <c r="AO182" s="3" t="s">
        <v>79</v>
      </c>
      <c r="AP182" s="3" t="s">
        <v>79</v>
      </c>
      <c r="AQ182" s="3" t="s">
        <v>79</v>
      </c>
      <c r="AR182" s="3" t="s">
        <v>79</v>
      </c>
      <c r="AS182" s="3" t="s">
        <v>79</v>
      </c>
      <c r="AT182" s="3" t="s">
        <v>79</v>
      </c>
      <c r="AU182" s="3" t="s">
        <v>79</v>
      </c>
      <c r="AV182" s="3" t="s">
        <v>79</v>
      </c>
      <c r="AW182" s="3" t="s">
        <v>497</v>
      </c>
      <c r="AX182" s="3">
        <v>2011.0</v>
      </c>
      <c r="AY182" s="3">
        <v>7.0</v>
      </c>
      <c r="AZ182" s="3">
        <v>8.0</v>
      </c>
      <c r="BA182" s="3" t="s">
        <v>79</v>
      </c>
      <c r="BB182" s="3" t="s">
        <v>79</v>
      </c>
      <c r="BC182" s="3" t="s">
        <v>79</v>
      </c>
      <c r="BD182" s="3" t="s">
        <v>79</v>
      </c>
      <c r="BE182" s="3">
        <v>4989.0</v>
      </c>
      <c r="BF182" s="3">
        <v>5002.0</v>
      </c>
      <c r="BG182" s="3" t="s">
        <v>79</v>
      </c>
      <c r="BH182" s="3" t="s">
        <v>79</v>
      </c>
      <c r="BI182" s="3" t="s">
        <v>79</v>
      </c>
      <c r="BJ182" s="3" t="s">
        <v>79</v>
      </c>
      <c r="BK182" s="3" t="s">
        <v>79</v>
      </c>
      <c r="BL182" s="3" t="s">
        <v>79</v>
      </c>
      <c r="BM182" s="3" t="s">
        <v>79</v>
      </c>
      <c r="BN182" s="3" t="s">
        <v>79</v>
      </c>
      <c r="BO182" s="3" t="s">
        <v>275</v>
      </c>
      <c r="BP182" s="3" t="s">
        <v>79</v>
      </c>
      <c r="BQ182" s="3" t="s">
        <v>79</v>
      </c>
      <c r="BR182" s="3" t="s">
        <v>79</v>
      </c>
      <c r="BS182" s="3" t="s">
        <v>79</v>
      </c>
      <c r="BT182" s="3" t="s">
        <v>79</v>
      </c>
      <c r="BU182" s="3" t="s">
        <v>95</v>
      </c>
      <c r="BV182" s="3" t="s">
        <v>2646</v>
      </c>
      <c r="BW182" s="3" t="str">
        <f>HYPERLINK("https%3A%2F%2Fwww.webofscience.com%2Fwos%2Fwoscc%2Ffull-record%2FWOS:000293817400032","View Full Record in Web of Science")</f>
        <v>View Full Record in Web of Science</v>
      </c>
    </row>
    <row r="183" ht="12.75" customHeight="1">
      <c r="A183" s="13"/>
      <c r="B183" s="12"/>
      <c r="C183" s="13"/>
      <c r="D183" s="13" t="s">
        <v>77</v>
      </c>
      <c r="E183" s="3" t="s">
        <v>2647</v>
      </c>
      <c r="F183" s="3" t="s">
        <v>79</v>
      </c>
      <c r="G183" s="3" t="s">
        <v>2648</v>
      </c>
      <c r="H183" s="3" t="s">
        <v>79</v>
      </c>
      <c r="I183" s="3" t="s">
        <v>2649</v>
      </c>
      <c r="J183" s="3" t="s">
        <v>79</v>
      </c>
      <c r="K183" s="3" t="s">
        <v>79</v>
      </c>
      <c r="L183" s="3" t="s">
        <v>2650</v>
      </c>
      <c r="M183" s="3" t="s">
        <v>2651</v>
      </c>
      <c r="N183" s="3" t="s">
        <v>79</v>
      </c>
      <c r="O183" s="3" t="s">
        <v>79</v>
      </c>
      <c r="P183" s="3" t="s">
        <v>79</v>
      </c>
      <c r="Q183" s="3" t="s">
        <v>84</v>
      </c>
      <c r="R183" s="3" t="s">
        <v>79</v>
      </c>
      <c r="S183" s="3" t="s">
        <v>79</v>
      </c>
      <c r="T183" s="3" t="s">
        <v>79</v>
      </c>
      <c r="U183" s="3" t="s">
        <v>79</v>
      </c>
      <c r="V183" s="3" t="s">
        <v>79</v>
      </c>
      <c r="W183" s="3" t="s">
        <v>2652</v>
      </c>
      <c r="X183" s="3" t="s">
        <v>236</v>
      </c>
      <c r="Y183" s="3" t="s">
        <v>2653</v>
      </c>
      <c r="Z183" s="3" t="s">
        <v>2654</v>
      </c>
      <c r="AA183" s="3" t="s">
        <v>917</v>
      </c>
      <c r="AB183" s="3" t="s">
        <v>2655</v>
      </c>
      <c r="AC183" s="3" t="s">
        <v>2656</v>
      </c>
      <c r="AD183" s="3" t="s">
        <v>2657</v>
      </c>
      <c r="AE183" s="3" t="s">
        <v>79</v>
      </c>
      <c r="AF183" s="3" t="s">
        <v>79</v>
      </c>
      <c r="AG183" s="3" t="s">
        <v>79</v>
      </c>
      <c r="AH183" s="3" t="s">
        <v>79</v>
      </c>
      <c r="AI183" s="3" t="s">
        <v>79</v>
      </c>
      <c r="AJ183" s="3">
        <v>21.0</v>
      </c>
      <c r="AK183" s="3">
        <v>16.0</v>
      </c>
      <c r="AL183" s="3">
        <v>20.0</v>
      </c>
      <c r="AM183" s="3" t="s">
        <v>79</v>
      </c>
      <c r="AN183" s="3" t="s">
        <v>79</v>
      </c>
      <c r="AO183" s="3" t="s">
        <v>79</v>
      </c>
      <c r="AP183" s="3" t="s">
        <v>79</v>
      </c>
      <c r="AQ183" s="3" t="s">
        <v>79</v>
      </c>
      <c r="AR183" s="3" t="s">
        <v>79</v>
      </c>
      <c r="AS183" s="3" t="s">
        <v>79</v>
      </c>
      <c r="AT183" s="3" t="s">
        <v>79</v>
      </c>
      <c r="AU183" s="3" t="s">
        <v>79</v>
      </c>
      <c r="AV183" s="3" t="s">
        <v>79</v>
      </c>
      <c r="AW183" s="3" t="s">
        <v>79</v>
      </c>
      <c r="AX183" s="3">
        <v>2018.0</v>
      </c>
      <c r="AY183" s="3" t="s">
        <v>79</v>
      </c>
      <c r="AZ183" s="3" t="s">
        <v>79</v>
      </c>
      <c r="BA183" s="3" t="s">
        <v>79</v>
      </c>
      <c r="BB183" s="3" t="s">
        <v>79</v>
      </c>
      <c r="BC183" s="3" t="s">
        <v>79</v>
      </c>
      <c r="BD183" s="3" t="s">
        <v>79</v>
      </c>
      <c r="BE183" s="3">
        <v>395.0</v>
      </c>
      <c r="BF183" s="3">
        <v>400.0</v>
      </c>
      <c r="BG183" s="3" t="s">
        <v>79</v>
      </c>
      <c r="BH183" s="3" t="s">
        <v>79</v>
      </c>
      <c r="BI183" s="3" t="s">
        <v>79</v>
      </c>
      <c r="BJ183" s="3" t="s">
        <v>79</v>
      </c>
      <c r="BK183" s="3" t="s">
        <v>79</v>
      </c>
      <c r="BL183" s="3" t="s">
        <v>79</v>
      </c>
      <c r="BM183" s="3" t="s">
        <v>79</v>
      </c>
      <c r="BN183" s="3" t="s">
        <v>79</v>
      </c>
      <c r="BO183" s="3" t="s">
        <v>787</v>
      </c>
      <c r="BP183" s="3" t="s">
        <v>79</v>
      </c>
      <c r="BQ183" s="3" t="s">
        <v>79</v>
      </c>
      <c r="BR183" s="3" t="s">
        <v>79</v>
      </c>
      <c r="BS183" s="3" t="s">
        <v>79</v>
      </c>
      <c r="BT183" s="3" t="s">
        <v>79</v>
      </c>
      <c r="BU183" s="3" t="s">
        <v>95</v>
      </c>
      <c r="BV183" s="3" t="s">
        <v>2658</v>
      </c>
      <c r="BW183" s="3" t="str">
        <f>HYPERLINK("https%3A%2F%2Fwww.webofscience.com%2Fwos%2Fwoscc%2Ffull-record%2FWOS:000461314200065","View Full Record in Web of Science")</f>
        <v>View Full Record in Web of Science</v>
      </c>
    </row>
    <row r="184" ht="12.75" customHeight="1">
      <c r="A184" s="13"/>
      <c r="B184" s="12"/>
      <c r="C184" s="13"/>
      <c r="D184" s="13" t="s">
        <v>77</v>
      </c>
      <c r="E184" s="3" t="s">
        <v>2659</v>
      </c>
      <c r="F184" s="3" t="s">
        <v>79</v>
      </c>
      <c r="G184" s="3" t="s">
        <v>79</v>
      </c>
      <c r="H184" s="3" t="s">
        <v>80</v>
      </c>
      <c r="I184" s="3" t="s">
        <v>2660</v>
      </c>
      <c r="J184" s="3" t="s">
        <v>79</v>
      </c>
      <c r="K184" s="3" t="s">
        <v>79</v>
      </c>
      <c r="L184" s="3" t="s">
        <v>2661</v>
      </c>
      <c r="M184" s="3" t="s">
        <v>2662</v>
      </c>
      <c r="N184" s="3" t="s">
        <v>2663</v>
      </c>
      <c r="O184" s="3" t="s">
        <v>79</v>
      </c>
      <c r="P184" s="3" t="s">
        <v>79</v>
      </c>
      <c r="Q184" s="3" t="s">
        <v>84</v>
      </c>
      <c r="R184" s="3" t="s">
        <v>79</v>
      </c>
      <c r="S184" s="3" t="s">
        <v>79</v>
      </c>
      <c r="T184" s="3" t="s">
        <v>79</v>
      </c>
      <c r="U184" s="3" t="s">
        <v>79</v>
      </c>
      <c r="V184" s="3" t="s">
        <v>79</v>
      </c>
      <c r="W184" s="3" t="s">
        <v>2664</v>
      </c>
      <c r="X184" s="3" t="s">
        <v>79</v>
      </c>
      <c r="Y184" s="3" t="s">
        <v>2665</v>
      </c>
      <c r="Z184" s="3" t="s">
        <v>2666</v>
      </c>
      <c r="AA184" s="3" t="s">
        <v>2667</v>
      </c>
      <c r="AB184" s="3" t="s">
        <v>2668</v>
      </c>
      <c r="AC184" s="3" t="s">
        <v>2669</v>
      </c>
      <c r="AD184" s="3" t="s">
        <v>2670</v>
      </c>
      <c r="AE184" s="3" t="s">
        <v>2671</v>
      </c>
      <c r="AF184" s="3" t="s">
        <v>79</v>
      </c>
      <c r="AG184" s="3" t="s">
        <v>79</v>
      </c>
      <c r="AH184" s="3" t="s">
        <v>79</v>
      </c>
      <c r="AI184" s="3" t="s">
        <v>79</v>
      </c>
      <c r="AJ184" s="3">
        <v>17.0</v>
      </c>
      <c r="AK184" s="3">
        <v>13.0</v>
      </c>
      <c r="AL184" s="3">
        <v>15.0</v>
      </c>
      <c r="AM184" s="3" t="s">
        <v>79</v>
      </c>
      <c r="AN184" s="3" t="s">
        <v>79</v>
      </c>
      <c r="AO184" s="3" t="s">
        <v>79</v>
      </c>
      <c r="AP184" s="3" t="s">
        <v>79</v>
      </c>
      <c r="AQ184" s="3" t="s">
        <v>79</v>
      </c>
      <c r="AR184" s="3" t="s">
        <v>79</v>
      </c>
      <c r="AS184" s="3" t="s">
        <v>79</v>
      </c>
      <c r="AT184" s="3" t="s">
        <v>79</v>
      </c>
      <c r="AU184" s="3" t="s">
        <v>79</v>
      </c>
      <c r="AV184" s="3" t="s">
        <v>79</v>
      </c>
      <c r="AW184" s="3" t="s">
        <v>79</v>
      </c>
      <c r="AX184" s="3">
        <v>2017.0</v>
      </c>
      <c r="AY184" s="3" t="s">
        <v>79</v>
      </c>
      <c r="AZ184" s="3" t="s">
        <v>79</v>
      </c>
      <c r="BA184" s="3" t="s">
        <v>79</v>
      </c>
      <c r="BB184" s="3" t="s">
        <v>79</v>
      </c>
      <c r="BC184" s="3" t="s">
        <v>79</v>
      </c>
      <c r="BD184" s="3" t="s">
        <v>79</v>
      </c>
      <c r="BE184" s="3">
        <v>6755.0</v>
      </c>
      <c r="BF184" s="3">
        <v>6760.0</v>
      </c>
      <c r="BG184" s="3" t="s">
        <v>79</v>
      </c>
      <c r="BH184" s="3" t="s">
        <v>79</v>
      </c>
      <c r="BI184" s="3" t="s">
        <v>79</v>
      </c>
      <c r="BJ184" s="3" t="s">
        <v>79</v>
      </c>
      <c r="BK184" s="3" t="s">
        <v>79</v>
      </c>
      <c r="BL184" s="3" t="s">
        <v>79</v>
      </c>
      <c r="BM184" s="3" t="s">
        <v>79</v>
      </c>
      <c r="BN184" s="3" t="s">
        <v>79</v>
      </c>
      <c r="BO184" s="3" t="s">
        <v>183</v>
      </c>
      <c r="BP184" s="3" t="s">
        <v>79</v>
      </c>
      <c r="BQ184" s="3" t="s">
        <v>79</v>
      </c>
      <c r="BR184" s="3" t="s">
        <v>79</v>
      </c>
      <c r="BS184" s="3" t="s">
        <v>79</v>
      </c>
      <c r="BT184" s="3" t="s">
        <v>79</v>
      </c>
      <c r="BU184" s="3" t="s">
        <v>95</v>
      </c>
      <c r="BV184" s="3" t="s">
        <v>2672</v>
      </c>
      <c r="BW184" s="3" t="str">
        <f>HYPERLINK("https%3A%2F%2Fwww.webofscience.com%2Fwos%2Fwoscc%2Ffull-record%2FWOS:000427082202020","View Full Record in Web of Science")</f>
        <v>View Full Record in Web of Science</v>
      </c>
    </row>
    <row r="185" ht="12.75" customHeight="1">
      <c r="A185" s="13"/>
      <c r="B185" s="12"/>
      <c r="C185" s="13"/>
      <c r="D185" s="13" t="s">
        <v>77</v>
      </c>
      <c r="E185" s="3" t="s">
        <v>2673</v>
      </c>
      <c r="F185" s="3" t="s">
        <v>79</v>
      </c>
      <c r="G185" s="3" t="s">
        <v>79</v>
      </c>
      <c r="H185" s="3" t="s">
        <v>80</v>
      </c>
      <c r="I185" s="3" t="s">
        <v>2674</v>
      </c>
      <c r="J185" s="3" t="s">
        <v>79</v>
      </c>
      <c r="K185" s="3" t="s">
        <v>79</v>
      </c>
      <c r="L185" s="3" t="s">
        <v>2675</v>
      </c>
      <c r="M185" s="3" t="s">
        <v>2676</v>
      </c>
      <c r="N185" s="3" t="s">
        <v>79</v>
      </c>
      <c r="O185" s="3" t="s">
        <v>79</v>
      </c>
      <c r="P185" s="3" t="s">
        <v>79</v>
      </c>
      <c r="Q185" s="3" t="s">
        <v>84</v>
      </c>
      <c r="R185" s="3" t="s">
        <v>79</v>
      </c>
      <c r="S185" s="3" t="s">
        <v>79</v>
      </c>
      <c r="T185" s="3" t="s">
        <v>79</v>
      </c>
      <c r="U185" s="3" t="s">
        <v>79</v>
      </c>
      <c r="V185" s="3" t="s">
        <v>79</v>
      </c>
      <c r="W185" s="3" t="s">
        <v>2677</v>
      </c>
      <c r="X185" s="3" t="s">
        <v>2563</v>
      </c>
      <c r="Y185" s="3" t="s">
        <v>2678</v>
      </c>
      <c r="Z185" s="3" t="s">
        <v>2679</v>
      </c>
      <c r="AA185" s="3" t="s">
        <v>2680</v>
      </c>
      <c r="AB185" s="3" t="s">
        <v>2681</v>
      </c>
      <c r="AC185" s="3" t="s">
        <v>2682</v>
      </c>
      <c r="AD185" s="3" t="s">
        <v>2683</v>
      </c>
      <c r="AE185" s="3" t="s">
        <v>79</v>
      </c>
      <c r="AF185" s="3" t="s">
        <v>79</v>
      </c>
      <c r="AG185" s="3" t="s">
        <v>79</v>
      </c>
      <c r="AH185" s="3" t="s">
        <v>79</v>
      </c>
      <c r="AI185" s="3" t="s">
        <v>79</v>
      </c>
      <c r="AJ185" s="3">
        <v>13.0</v>
      </c>
      <c r="AK185" s="3">
        <v>0.0</v>
      </c>
      <c r="AL185" s="3">
        <v>0.0</v>
      </c>
      <c r="AM185" s="3" t="s">
        <v>79</v>
      </c>
      <c r="AN185" s="3" t="s">
        <v>79</v>
      </c>
      <c r="AO185" s="3" t="s">
        <v>79</v>
      </c>
      <c r="AP185" s="3" t="s">
        <v>79</v>
      </c>
      <c r="AQ185" s="3" t="s">
        <v>79</v>
      </c>
      <c r="AR185" s="3" t="s">
        <v>79</v>
      </c>
      <c r="AS185" s="3" t="s">
        <v>79</v>
      </c>
      <c r="AT185" s="3" t="s">
        <v>79</v>
      </c>
      <c r="AU185" s="3" t="s">
        <v>79</v>
      </c>
      <c r="AV185" s="3" t="s">
        <v>79</v>
      </c>
      <c r="AW185" s="3" t="s">
        <v>79</v>
      </c>
      <c r="AX185" s="3">
        <v>2016.0</v>
      </c>
      <c r="AY185" s="3" t="s">
        <v>79</v>
      </c>
      <c r="AZ185" s="3" t="s">
        <v>79</v>
      </c>
      <c r="BA185" s="3" t="s">
        <v>79</v>
      </c>
      <c r="BB185" s="3" t="s">
        <v>79</v>
      </c>
      <c r="BC185" s="3" t="s">
        <v>79</v>
      </c>
      <c r="BD185" s="3" t="s">
        <v>79</v>
      </c>
      <c r="BE185" s="3">
        <v>47.0</v>
      </c>
      <c r="BF185" s="3">
        <v>50.0</v>
      </c>
      <c r="BG185" s="3" t="s">
        <v>79</v>
      </c>
      <c r="BH185" s="3" t="s">
        <v>79</v>
      </c>
      <c r="BI185" s="3" t="s">
        <v>79</v>
      </c>
      <c r="BJ185" s="3" t="s">
        <v>79</v>
      </c>
      <c r="BK185" s="3" t="s">
        <v>79</v>
      </c>
      <c r="BL185" s="3" t="s">
        <v>79</v>
      </c>
      <c r="BM185" s="3" t="s">
        <v>79</v>
      </c>
      <c r="BN185" s="3" t="s">
        <v>79</v>
      </c>
      <c r="BO185" s="3" t="s">
        <v>139</v>
      </c>
      <c r="BP185" s="3" t="s">
        <v>79</v>
      </c>
      <c r="BQ185" s="3" t="s">
        <v>79</v>
      </c>
      <c r="BR185" s="3" t="s">
        <v>79</v>
      </c>
      <c r="BS185" s="3" t="s">
        <v>79</v>
      </c>
      <c r="BT185" s="3" t="s">
        <v>79</v>
      </c>
      <c r="BU185" s="3" t="s">
        <v>95</v>
      </c>
      <c r="BV185" s="3" t="s">
        <v>2684</v>
      </c>
      <c r="BW185" s="3" t="str">
        <f>HYPERLINK("https%3A%2F%2Fwww.webofscience.com%2Fwos%2Fwoscc%2Ffull-record%2FWOS:000400378900011","View Full Record in Web of Science")</f>
        <v>View Full Record in Web of Science</v>
      </c>
    </row>
    <row r="186" ht="12.75" customHeight="1">
      <c r="A186" s="13"/>
      <c r="B186" s="12"/>
      <c r="C186" s="13"/>
      <c r="D186" s="13" t="s">
        <v>185</v>
      </c>
      <c r="E186" s="3" t="s">
        <v>2685</v>
      </c>
      <c r="F186" s="3" t="s">
        <v>79</v>
      </c>
      <c r="G186" s="3" t="s">
        <v>79</v>
      </c>
      <c r="H186" s="3" t="s">
        <v>79</v>
      </c>
      <c r="I186" s="3" t="s">
        <v>2686</v>
      </c>
      <c r="J186" s="3" t="s">
        <v>79</v>
      </c>
      <c r="K186" s="3" t="s">
        <v>79</v>
      </c>
      <c r="L186" s="3" t="s">
        <v>2687</v>
      </c>
      <c r="M186" s="3" t="s">
        <v>2688</v>
      </c>
      <c r="N186" s="3" t="s">
        <v>79</v>
      </c>
      <c r="O186" s="3" t="s">
        <v>79</v>
      </c>
      <c r="P186" s="3" t="s">
        <v>79</v>
      </c>
      <c r="Q186" s="3" t="s">
        <v>190</v>
      </c>
      <c r="R186" s="3" t="s">
        <v>79</v>
      </c>
      <c r="S186" s="3" t="s">
        <v>79</v>
      </c>
      <c r="T186" s="3" t="s">
        <v>79</v>
      </c>
      <c r="U186" s="3" t="s">
        <v>79</v>
      </c>
      <c r="V186" s="3" t="s">
        <v>79</v>
      </c>
      <c r="W186" s="3" t="s">
        <v>2689</v>
      </c>
      <c r="X186" s="3" t="s">
        <v>79</v>
      </c>
      <c r="Y186" s="3" t="s">
        <v>2690</v>
      </c>
      <c r="Z186" s="3" t="s">
        <v>2691</v>
      </c>
      <c r="AA186" s="3" t="s">
        <v>2692</v>
      </c>
      <c r="AB186" s="3" t="s">
        <v>2693</v>
      </c>
      <c r="AC186" s="3" t="s">
        <v>2694</v>
      </c>
      <c r="AD186" s="3" t="s">
        <v>2695</v>
      </c>
      <c r="AE186" s="3" t="s">
        <v>2696</v>
      </c>
      <c r="AF186" s="3" t="s">
        <v>79</v>
      </c>
      <c r="AG186" s="3" t="s">
        <v>79</v>
      </c>
      <c r="AH186" s="3" t="s">
        <v>79</v>
      </c>
      <c r="AI186" s="3" t="s">
        <v>79</v>
      </c>
      <c r="AJ186" s="3">
        <v>29.0</v>
      </c>
      <c r="AK186" s="3">
        <v>14.0</v>
      </c>
      <c r="AL186" s="3">
        <v>14.0</v>
      </c>
      <c r="AM186" s="3" t="s">
        <v>79</v>
      </c>
      <c r="AN186" s="3" t="s">
        <v>79</v>
      </c>
      <c r="AO186" s="3" t="s">
        <v>79</v>
      </c>
      <c r="AP186" s="3" t="s">
        <v>79</v>
      </c>
      <c r="AQ186" s="3" t="s">
        <v>79</v>
      </c>
      <c r="AR186" s="3" t="s">
        <v>79</v>
      </c>
      <c r="AS186" s="3" t="s">
        <v>79</v>
      </c>
      <c r="AT186" s="3" t="s">
        <v>79</v>
      </c>
      <c r="AU186" s="3" t="s">
        <v>79</v>
      </c>
      <c r="AV186" s="3" t="s">
        <v>79</v>
      </c>
      <c r="AW186" s="3" t="s">
        <v>79</v>
      </c>
      <c r="AX186" s="3">
        <v>2013.0</v>
      </c>
      <c r="AY186" s="3">
        <v>13.0</v>
      </c>
      <c r="AZ186" s="3">
        <v>2.0</v>
      </c>
      <c r="BA186" s="3" t="s">
        <v>79</v>
      </c>
      <c r="BB186" s="3" t="s">
        <v>79</v>
      </c>
      <c r="BC186" s="3" t="s">
        <v>79</v>
      </c>
      <c r="BD186" s="3" t="s">
        <v>79</v>
      </c>
      <c r="BE186" s="3">
        <v>133.0</v>
      </c>
      <c r="BF186" s="3">
        <v>146.0</v>
      </c>
      <c r="BG186" s="3" t="s">
        <v>79</v>
      </c>
      <c r="BH186" s="3" t="s">
        <v>2697</v>
      </c>
      <c r="BI186" s="8" t="str">
        <f>HYPERLINK("http://dx.doi.org/10.1504/IJBET.2013.057926","http://dx.doi.org/10.1504/IJBET.2013.057926")</f>
        <v>http://dx.doi.org/10.1504/IJBET.2013.057926</v>
      </c>
      <c r="BJ186" s="3" t="s">
        <v>79</v>
      </c>
      <c r="BK186" s="3" t="s">
        <v>79</v>
      </c>
      <c r="BL186" s="3" t="s">
        <v>79</v>
      </c>
      <c r="BM186" s="3" t="s">
        <v>79</v>
      </c>
      <c r="BN186" s="3" t="s">
        <v>79</v>
      </c>
      <c r="BO186" s="3" t="s">
        <v>139</v>
      </c>
      <c r="BP186" s="3" t="s">
        <v>79</v>
      </c>
      <c r="BQ186" s="3" t="s">
        <v>79</v>
      </c>
      <c r="BR186" s="3" t="s">
        <v>79</v>
      </c>
      <c r="BS186" s="3" t="s">
        <v>79</v>
      </c>
      <c r="BT186" s="3" t="s">
        <v>79</v>
      </c>
      <c r="BU186" s="3" t="s">
        <v>95</v>
      </c>
      <c r="BV186" s="3" t="s">
        <v>2698</v>
      </c>
      <c r="BW186" s="3" t="str">
        <f>HYPERLINK("https%3A%2F%2Fwww.webofscience.com%2Fwos%2Fwoscc%2Ffull-record%2FWOS:000214265100003","View Full Record in Web of Science")</f>
        <v>View Full Record in Web of Science</v>
      </c>
    </row>
    <row r="187" ht="12.75" customHeight="1">
      <c r="A187" s="13"/>
      <c r="B187" s="12"/>
      <c r="C187" s="13"/>
      <c r="D187" s="13" t="s">
        <v>77</v>
      </c>
      <c r="E187" s="3" t="s">
        <v>2699</v>
      </c>
      <c r="F187" s="3" t="s">
        <v>79</v>
      </c>
      <c r="G187" s="3" t="s">
        <v>79</v>
      </c>
      <c r="H187" s="3" t="s">
        <v>80</v>
      </c>
      <c r="I187" s="3" t="s">
        <v>2700</v>
      </c>
      <c r="J187" s="3" t="s">
        <v>79</v>
      </c>
      <c r="K187" s="3" t="s">
        <v>79</v>
      </c>
      <c r="L187" s="3" t="s">
        <v>2701</v>
      </c>
      <c r="M187" s="3" t="s">
        <v>2702</v>
      </c>
      <c r="N187" s="3" t="s">
        <v>79</v>
      </c>
      <c r="O187" s="3" t="s">
        <v>79</v>
      </c>
      <c r="P187" s="3" t="s">
        <v>79</v>
      </c>
      <c r="Q187" s="3" t="s">
        <v>84</v>
      </c>
      <c r="R187" s="3" t="s">
        <v>79</v>
      </c>
      <c r="S187" s="3" t="s">
        <v>79</v>
      </c>
      <c r="T187" s="3" t="s">
        <v>79</v>
      </c>
      <c r="U187" s="3" t="s">
        <v>79</v>
      </c>
      <c r="V187" s="3" t="s">
        <v>79</v>
      </c>
      <c r="W187" s="3" t="s">
        <v>2703</v>
      </c>
      <c r="X187" s="3" t="s">
        <v>79</v>
      </c>
      <c r="Y187" s="3" t="s">
        <v>2704</v>
      </c>
      <c r="Z187" s="3" t="s">
        <v>2705</v>
      </c>
      <c r="AA187" s="3" t="s">
        <v>2706</v>
      </c>
      <c r="AB187" s="3" t="s">
        <v>2707</v>
      </c>
      <c r="AC187" s="3" t="s">
        <v>2708</v>
      </c>
      <c r="AD187" s="3" t="s">
        <v>2709</v>
      </c>
      <c r="AE187" s="3" t="s">
        <v>2710</v>
      </c>
      <c r="AF187" s="3" t="s">
        <v>79</v>
      </c>
      <c r="AG187" s="3" t="s">
        <v>79</v>
      </c>
      <c r="AH187" s="3" t="s">
        <v>79</v>
      </c>
      <c r="AI187" s="3" t="s">
        <v>79</v>
      </c>
      <c r="AJ187" s="3">
        <v>8.0</v>
      </c>
      <c r="AK187" s="3">
        <v>0.0</v>
      </c>
      <c r="AL187" s="3">
        <v>0.0</v>
      </c>
      <c r="AM187" s="3" t="s">
        <v>79</v>
      </c>
      <c r="AN187" s="3" t="s">
        <v>79</v>
      </c>
      <c r="AO187" s="3" t="s">
        <v>79</v>
      </c>
      <c r="AP187" s="3" t="s">
        <v>79</v>
      </c>
      <c r="AQ187" s="3" t="s">
        <v>79</v>
      </c>
      <c r="AR187" s="3" t="s">
        <v>79</v>
      </c>
      <c r="AS187" s="3" t="s">
        <v>79</v>
      </c>
      <c r="AT187" s="3" t="s">
        <v>79</v>
      </c>
      <c r="AU187" s="3" t="s">
        <v>79</v>
      </c>
      <c r="AV187" s="3" t="s">
        <v>79</v>
      </c>
      <c r="AW187" s="3" t="s">
        <v>79</v>
      </c>
      <c r="AX187" s="3">
        <v>2018.0</v>
      </c>
      <c r="AY187" s="3" t="s">
        <v>79</v>
      </c>
      <c r="AZ187" s="3" t="s">
        <v>79</v>
      </c>
      <c r="BA187" s="3" t="s">
        <v>79</v>
      </c>
      <c r="BB187" s="3" t="s">
        <v>79</v>
      </c>
      <c r="BC187" s="3" t="s">
        <v>79</v>
      </c>
      <c r="BD187" s="3" t="s">
        <v>79</v>
      </c>
      <c r="BE187" s="3" t="s">
        <v>79</v>
      </c>
      <c r="BF187" s="3" t="s">
        <v>79</v>
      </c>
      <c r="BG187" s="3" t="s">
        <v>79</v>
      </c>
      <c r="BH187" s="3" t="s">
        <v>79</v>
      </c>
      <c r="BI187" s="3" t="s">
        <v>79</v>
      </c>
      <c r="BJ187" s="3" t="s">
        <v>79</v>
      </c>
      <c r="BK187" s="3" t="s">
        <v>79</v>
      </c>
      <c r="BL187" s="3" t="s">
        <v>79</v>
      </c>
      <c r="BM187" s="3" t="s">
        <v>79</v>
      </c>
      <c r="BN187" s="3" t="s">
        <v>79</v>
      </c>
      <c r="BO187" s="3" t="s">
        <v>2711</v>
      </c>
      <c r="BP187" s="3" t="s">
        <v>79</v>
      </c>
      <c r="BQ187" s="3" t="s">
        <v>79</v>
      </c>
      <c r="BR187" s="3" t="s">
        <v>79</v>
      </c>
      <c r="BS187" s="3" t="s">
        <v>79</v>
      </c>
      <c r="BT187" s="3" t="s">
        <v>79</v>
      </c>
      <c r="BU187" s="3" t="s">
        <v>95</v>
      </c>
      <c r="BV187" s="3" t="s">
        <v>2712</v>
      </c>
      <c r="BW187" s="3" t="str">
        <f>HYPERLINK("https%3A%2F%2Fwww.webofscience.com%2Fwos%2Fwoscc%2Ffull-record%2FWOS:000467637600086","View Full Record in Web of Science")</f>
        <v>View Full Record in Web of Science</v>
      </c>
    </row>
    <row r="188" ht="12.75" customHeight="1">
      <c r="A188" s="13"/>
      <c r="B188" s="12"/>
      <c r="C188" s="13"/>
      <c r="D188" s="13" t="s">
        <v>185</v>
      </c>
      <c r="E188" s="3" t="s">
        <v>2713</v>
      </c>
      <c r="F188" s="3" t="s">
        <v>79</v>
      </c>
      <c r="G188" s="3" t="s">
        <v>79</v>
      </c>
      <c r="H188" s="3" t="s">
        <v>79</v>
      </c>
      <c r="I188" s="3" t="s">
        <v>2714</v>
      </c>
      <c r="J188" s="3" t="s">
        <v>79</v>
      </c>
      <c r="K188" s="3" t="s">
        <v>79</v>
      </c>
      <c r="L188" s="3" t="s">
        <v>2715</v>
      </c>
      <c r="M188" s="3" t="s">
        <v>2716</v>
      </c>
      <c r="N188" s="3" t="s">
        <v>79</v>
      </c>
      <c r="O188" s="3" t="s">
        <v>79</v>
      </c>
      <c r="P188" s="3" t="s">
        <v>79</v>
      </c>
      <c r="Q188" s="3" t="s">
        <v>190</v>
      </c>
      <c r="R188" s="3" t="s">
        <v>79</v>
      </c>
      <c r="S188" s="3" t="s">
        <v>79</v>
      </c>
      <c r="T188" s="3" t="s">
        <v>79</v>
      </c>
      <c r="U188" s="3" t="s">
        <v>79</v>
      </c>
      <c r="V188" s="3" t="s">
        <v>79</v>
      </c>
      <c r="W188" s="3" t="s">
        <v>2717</v>
      </c>
      <c r="X188" s="3" t="s">
        <v>79</v>
      </c>
      <c r="Y188" s="3" t="s">
        <v>2718</v>
      </c>
      <c r="Z188" s="3" t="s">
        <v>2719</v>
      </c>
      <c r="AA188" s="3" t="s">
        <v>1130</v>
      </c>
      <c r="AB188" s="3" t="s">
        <v>2720</v>
      </c>
      <c r="AC188" s="3" t="s">
        <v>2721</v>
      </c>
      <c r="AD188" s="3" t="s">
        <v>2722</v>
      </c>
      <c r="AE188" s="3" t="s">
        <v>2723</v>
      </c>
      <c r="AF188" s="3" t="s">
        <v>79</v>
      </c>
      <c r="AG188" s="3" t="s">
        <v>79</v>
      </c>
      <c r="AH188" s="3" t="s">
        <v>79</v>
      </c>
      <c r="AI188" s="3" t="s">
        <v>79</v>
      </c>
      <c r="AJ188" s="3">
        <v>33.0</v>
      </c>
      <c r="AK188" s="3">
        <v>223.0</v>
      </c>
      <c r="AL188" s="3">
        <v>232.0</v>
      </c>
      <c r="AM188" s="3" t="s">
        <v>79</v>
      </c>
      <c r="AN188" s="3" t="s">
        <v>79</v>
      </c>
      <c r="AO188" s="3" t="s">
        <v>79</v>
      </c>
      <c r="AP188" s="3" t="s">
        <v>79</v>
      </c>
      <c r="AQ188" s="3" t="s">
        <v>79</v>
      </c>
      <c r="AR188" s="3" t="s">
        <v>79</v>
      </c>
      <c r="AS188" s="3" t="s">
        <v>79</v>
      </c>
      <c r="AT188" s="3" t="s">
        <v>79</v>
      </c>
      <c r="AU188" s="3" t="s">
        <v>79</v>
      </c>
      <c r="AV188" s="3" t="s">
        <v>79</v>
      </c>
      <c r="AW188" s="3" t="s">
        <v>785</v>
      </c>
      <c r="AX188" s="3">
        <v>2023.0</v>
      </c>
      <c r="AY188" s="3">
        <v>19.0</v>
      </c>
      <c r="AZ188" s="3">
        <v>2.0</v>
      </c>
      <c r="BA188" s="3" t="s">
        <v>79</v>
      </c>
      <c r="BB188" s="3" t="s">
        <v>79</v>
      </c>
      <c r="BC188" s="3" t="s">
        <v>79</v>
      </c>
      <c r="BD188" s="3" t="s">
        <v>79</v>
      </c>
      <c r="BE188" s="3">
        <v>2249.0</v>
      </c>
      <c r="BF188" s="3">
        <v>2258.0</v>
      </c>
      <c r="BG188" s="3" t="s">
        <v>79</v>
      </c>
      <c r="BH188" s="3" t="s">
        <v>2724</v>
      </c>
      <c r="BI188" s="8" t="str">
        <f>HYPERLINK("http://dx.doi.org/10.1109/TII.2022.3197419","http://dx.doi.org/10.1109/TII.2022.3197419")</f>
        <v>http://dx.doi.org/10.1109/TII.2022.3197419</v>
      </c>
      <c r="BJ188" s="3" t="s">
        <v>79</v>
      </c>
      <c r="BK188" s="3" t="s">
        <v>79</v>
      </c>
      <c r="BL188" s="3" t="s">
        <v>79</v>
      </c>
      <c r="BM188" s="3" t="s">
        <v>79</v>
      </c>
      <c r="BN188" s="3" t="s">
        <v>79</v>
      </c>
      <c r="BO188" s="3" t="s">
        <v>2477</v>
      </c>
      <c r="BP188" s="3" t="s">
        <v>79</v>
      </c>
      <c r="BQ188" s="3" t="s">
        <v>79</v>
      </c>
      <c r="BR188" s="3" t="s">
        <v>79</v>
      </c>
      <c r="BS188" s="3" t="s">
        <v>1485</v>
      </c>
      <c r="BT188" s="3" t="s">
        <v>79</v>
      </c>
      <c r="BU188" s="3" t="s">
        <v>95</v>
      </c>
      <c r="BV188" s="3" t="s">
        <v>2725</v>
      </c>
      <c r="BW188" s="3" t="str">
        <f>HYPERLINK("https%3A%2F%2Fwww.webofscience.com%2Fwos%2Fwoscc%2Ffull-record%2FWOS:000926964700110","View Full Record in Web of Science")</f>
        <v>View Full Record in Web of Science</v>
      </c>
    </row>
    <row r="189" ht="12.75" customHeight="1">
      <c r="A189" s="13"/>
      <c r="B189" s="12"/>
      <c r="C189" s="13"/>
      <c r="D189" s="13" t="s">
        <v>77</v>
      </c>
      <c r="E189" s="3" t="s">
        <v>2726</v>
      </c>
      <c r="F189" s="3" t="s">
        <v>79</v>
      </c>
      <c r="G189" s="3" t="s">
        <v>79</v>
      </c>
      <c r="H189" s="3" t="s">
        <v>80</v>
      </c>
      <c r="I189" s="3" t="s">
        <v>2727</v>
      </c>
      <c r="J189" s="3" t="s">
        <v>79</v>
      </c>
      <c r="K189" s="3" t="s">
        <v>79</v>
      </c>
      <c r="L189" s="3" t="s">
        <v>2728</v>
      </c>
      <c r="M189" s="3" t="s">
        <v>2729</v>
      </c>
      <c r="N189" s="3" t="s">
        <v>79</v>
      </c>
      <c r="O189" s="3" t="s">
        <v>79</v>
      </c>
      <c r="P189" s="3" t="s">
        <v>79</v>
      </c>
      <c r="Q189" s="3" t="s">
        <v>84</v>
      </c>
      <c r="R189" s="3" t="s">
        <v>79</v>
      </c>
      <c r="S189" s="3" t="s">
        <v>79</v>
      </c>
      <c r="T189" s="3" t="s">
        <v>79</v>
      </c>
      <c r="U189" s="3" t="s">
        <v>79</v>
      </c>
      <c r="V189" s="3" t="s">
        <v>79</v>
      </c>
      <c r="W189" s="3" t="s">
        <v>2730</v>
      </c>
      <c r="X189" s="3" t="s">
        <v>79</v>
      </c>
      <c r="Y189" s="3" t="s">
        <v>2731</v>
      </c>
      <c r="Z189" s="3" t="s">
        <v>2732</v>
      </c>
      <c r="AA189" s="3" t="s">
        <v>2733</v>
      </c>
      <c r="AB189" s="3" t="s">
        <v>2734</v>
      </c>
      <c r="AC189" s="3" t="s">
        <v>2735</v>
      </c>
      <c r="AD189" s="3" t="s">
        <v>2736</v>
      </c>
      <c r="AE189" s="3" t="s">
        <v>79</v>
      </c>
      <c r="AF189" s="3" t="s">
        <v>79</v>
      </c>
      <c r="AG189" s="3" t="s">
        <v>79</v>
      </c>
      <c r="AH189" s="3" t="s">
        <v>79</v>
      </c>
      <c r="AI189" s="3" t="s">
        <v>79</v>
      </c>
      <c r="AJ189" s="3">
        <v>10.0</v>
      </c>
      <c r="AK189" s="3">
        <v>16.0</v>
      </c>
      <c r="AL189" s="3">
        <v>21.0</v>
      </c>
      <c r="AM189" s="3" t="s">
        <v>79</v>
      </c>
      <c r="AN189" s="3" t="s">
        <v>79</v>
      </c>
      <c r="AO189" s="3" t="s">
        <v>79</v>
      </c>
      <c r="AP189" s="3" t="s">
        <v>79</v>
      </c>
      <c r="AQ189" s="3" t="s">
        <v>79</v>
      </c>
      <c r="AR189" s="3" t="s">
        <v>79</v>
      </c>
      <c r="AS189" s="3" t="s">
        <v>79</v>
      </c>
      <c r="AT189" s="3" t="s">
        <v>79</v>
      </c>
      <c r="AU189" s="3" t="s">
        <v>79</v>
      </c>
      <c r="AV189" s="3" t="s">
        <v>79</v>
      </c>
      <c r="AW189" s="3" t="s">
        <v>79</v>
      </c>
      <c r="AX189" s="3">
        <v>2017.0</v>
      </c>
      <c r="AY189" s="3" t="s">
        <v>79</v>
      </c>
      <c r="AZ189" s="3" t="s">
        <v>79</v>
      </c>
      <c r="BA189" s="3" t="s">
        <v>79</v>
      </c>
      <c r="BB189" s="3" t="s">
        <v>79</v>
      </c>
      <c r="BC189" s="3" t="s">
        <v>79</v>
      </c>
      <c r="BD189" s="3" t="s">
        <v>79</v>
      </c>
      <c r="BE189" s="3">
        <v>938.0</v>
      </c>
      <c r="BF189" s="3">
        <v>943.0</v>
      </c>
      <c r="BG189" s="3" t="s">
        <v>79</v>
      </c>
      <c r="BH189" s="3" t="s">
        <v>79</v>
      </c>
      <c r="BI189" s="3" t="s">
        <v>79</v>
      </c>
      <c r="BJ189" s="3" t="s">
        <v>79</v>
      </c>
      <c r="BK189" s="3" t="s">
        <v>79</v>
      </c>
      <c r="BL189" s="3" t="s">
        <v>79</v>
      </c>
      <c r="BM189" s="3" t="s">
        <v>79</v>
      </c>
      <c r="BN189" s="3" t="s">
        <v>79</v>
      </c>
      <c r="BO189" s="3" t="s">
        <v>2737</v>
      </c>
      <c r="BP189" s="3" t="s">
        <v>79</v>
      </c>
      <c r="BQ189" s="3" t="s">
        <v>79</v>
      </c>
      <c r="BR189" s="3" t="s">
        <v>79</v>
      </c>
      <c r="BS189" s="3" t="s">
        <v>79</v>
      </c>
      <c r="BT189" s="3" t="s">
        <v>79</v>
      </c>
      <c r="BU189" s="3" t="s">
        <v>95</v>
      </c>
      <c r="BV189" s="3" t="s">
        <v>2738</v>
      </c>
      <c r="BW189" s="3" t="str">
        <f>HYPERLINK("https%3A%2F%2Fwww.webofscience.com%2Fwos%2Fwoscc%2Ffull-record%2FWOS:000443206600156","View Full Record in Web of Science")</f>
        <v>View Full Record in Web of Science</v>
      </c>
    </row>
    <row r="190" ht="12.75" customHeight="1">
      <c r="A190" s="13"/>
      <c r="B190" s="12"/>
      <c r="C190" s="13"/>
      <c r="D190" s="13" t="s">
        <v>185</v>
      </c>
      <c r="E190" s="3" t="s">
        <v>2739</v>
      </c>
      <c r="F190" s="3" t="s">
        <v>79</v>
      </c>
      <c r="G190" s="3" t="s">
        <v>79</v>
      </c>
      <c r="H190" s="3" t="s">
        <v>79</v>
      </c>
      <c r="I190" s="3" t="s">
        <v>2740</v>
      </c>
      <c r="J190" s="3" t="s">
        <v>79</v>
      </c>
      <c r="K190" s="3" t="s">
        <v>79</v>
      </c>
      <c r="L190" s="3" t="s">
        <v>2741</v>
      </c>
      <c r="M190" s="3" t="s">
        <v>1166</v>
      </c>
      <c r="N190" s="3" t="s">
        <v>79</v>
      </c>
      <c r="O190" s="3" t="s">
        <v>79</v>
      </c>
      <c r="P190" s="3" t="s">
        <v>79</v>
      </c>
      <c r="Q190" s="3" t="s">
        <v>190</v>
      </c>
      <c r="R190" s="3" t="s">
        <v>79</v>
      </c>
      <c r="S190" s="3" t="s">
        <v>79</v>
      </c>
      <c r="T190" s="3" t="s">
        <v>79</v>
      </c>
      <c r="U190" s="3" t="s">
        <v>79</v>
      </c>
      <c r="V190" s="3" t="s">
        <v>79</v>
      </c>
      <c r="W190" s="3" t="s">
        <v>2742</v>
      </c>
      <c r="X190" s="3" t="s">
        <v>2743</v>
      </c>
      <c r="Y190" s="3" t="s">
        <v>2744</v>
      </c>
      <c r="Z190" s="3" t="s">
        <v>2745</v>
      </c>
      <c r="AA190" s="3" t="s">
        <v>2746</v>
      </c>
      <c r="AB190" s="3" t="s">
        <v>2747</v>
      </c>
      <c r="AC190" s="3" t="s">
        <v>2748</v>
      </c>
      <c r="AD190" s="3" t="s">
        <v>2749</v>
      </c>
      <c r="AE190" s="3" t="s">
        <v>2750</v>
      </c>
      <c r="AF190" s="3" t="s">
        <v>79</v>
      </c>
      <c r="AG190" s="3" t="s">
        <v>79</v>
      </c>
      <c r="AH190" s="3" t="s">
        <v>79</v>
      </c>
      <c r="AI190" s="3" t="s">
        <v>79</v>
      </c>
      <c r="AJ190" s="3">
        <v>60.0</v>
      </c>
      <c r="AK190" s="3">
        <v>25.0</v>
      </c>
      <c r="AL190" s="3">
        <v>29.0</v>
      </c>
      <c r="AM190" s="3" t="s">
        <v>79</v>
      </c>
      <c r="AN190" s="3" t="s">
        <v>79</v>
      </c>
      <c r="AO190" s="3" t="s">
        <v>79</v>
      </c>
      <c r="AP190" s="3" t="s">
        <v>79</v>
      </c>
      <c r="AQ190" s="3" t="s">
        <v>79</v>
      </c>
      <c r="AR190" s="3" t="s">
        <v>79</v>
      </c>
      <c r="AS190" s="3" t="s">
        <v>79</v>
      </c>
      <c r="AT190" s="3" t="s">
        <v>79</v>
      </c>
      <c r="AU190" s="3" t="s">
        <v>79</v>
      </c>
      <c r="AV190" s="3" t="s">
        <v>79</v>
      </c>
      <c r="AW190" s="3" t="s">
        <v>2751</v>
      </c>
      <c r="AX190" s="3">
        <v>2023.0</v>
      </c>
      <c r="AY190" s="3">
        <v>17.0</v>
      </c>
      <c r="AZ190" s="3" t="s">
        <v>79</v>
      </c>
      <c r="BA190" s="3" t="s">
        <v>79</v>
      </c>
      <c r="BB190" s="3" t="s">
        <v>79</v>
      </c>
      <c r="BC190" s="3" t="s">
        <v>79</v>
      </c>
      <c r="BD190" s="3" t="s">
        <v>79</v>
      </c>
      <c r="BE190" s="3" t="s">
        <v>79</v>
      </c>
      <c r="BF190" s="3" t="s">
        <v>79</v>
      </c>
      <c r="BG190" s="3">
        <v>1223307.0</v>
      </c>
      <c r="BH190" s="3" t="s">
        <v>2752</v>
      </c>
      <c r="BI190" s="8" t="str">
        <f>HYPERLINK("http://dx.doi.org/10.3389/fnhum.2023.1223307","http://dx.doi.org/10.3389/fnhum.2023.1223307")</f>
        <v>http://dx.doi.org/10.3389/fnhum.2023.1223307</v>
      </c>
      <c r="BJ190" s="3" t="s">
        <v>79</v>
      </c>
      <c r="BK190" s="3" t="s">
        <v>79</v>
      </c>
      <c r="BL190" s="3" t="s">
        <v>79</v>
      </c>
      <c r="BM190" s="3" t="s">
        <v>79</v>
      </c>
      <c r="BN190" s="3" t="s">
        <v>79</v>
      </c>
      <c r="BO190" s="3" t="s">
        <v>1178</v>
      </c>
      <c r="BP190" s="3" t="s">
        <v>79</v>
      </c>
      <c r="BQ190" s="3" t="s">
        <v>79</v>
      </c>
      <c r="BR190" s="3" t="s">
        <v>79</v>
      </c>
      <c r="BS190" s="3" t="s">
        <v>79</v>
      </c>
      <c r="BT190" s="3" t="s">
        <v>79</v>
      </c>
      <c r="BU190" s="3" t="s">
        <v>95</v>
      </c>
      <c r="BV190" s="3" t="s">
        <v>2753</v>
      </c>
      <c r="BW190" s="3" t="str">
        <f>HYPERLINK("https%3A%2F%2Fwww.webofscience.com%2Fwos%2Fwoscc%2Ffull-record%2FWOS:001034826800001","View Full Record in Web of Science")</f>
        <v>View Full Record in Web of Science</v>
      </c>
    </row>
    <row r="191" ht="12.75" customHeight="1">
      <c r="A191" s="13"/>
      <c r="B191" s="12"/>
      <c r="C191" s="13"/>
      <c r="D191" s="13" t="s">
        <v>77</v>
      </c>
      <c r="E191" s="3" t="s">
        <v>2754</v>
      </c>
      <c r="F191" s="3" t="s">
        <v>79</v>
      </c>
      <c r="G191" s="3" t="s">
        <v>79</v>
      </c>
      <c r="H191" s="3" t="s">
        <v>80</v>
      </c>
      <c r="I191" s="3" t="s">
        <v>2755</v>
      </c>
      <c r="J191" s="3" t="s">
        <v>79</v>
      </c>
      <c r="K191" s="3" t="s">
        <v>79</v>
      </c>
      <c r="L191" s="3" t="s">
        <v>2756</v>
      </c>
      <c r="M191" s="3" t="s">
        <v>2757</v>
      </c>
      <c r="N191" s="3" t="s">
        <v>2758</v>
      </c>
      <c r="O191" s="3" t="s">
        <v>79</v>
      </c>
      <c r="P191" s="3" t="s">
        <v>79</v>
      </c>
      <c r="Q191" s="3" t="s">
        <v>84</v>
      </c>
      <c r="R191" s="3" t="s">
        <v>79</v>
      </c>
      <c r="S191" s="3" t="s">
        <v>79</v>
      </c>
      <c r="T191" s="3" t="s">
        <v>79</v>
      </c>
      <c r="U191" s="3" t="s">
        <v>79</v>
      </c>
      <c r="V191" s="3" t="s">
        <v>79</v>
      </c>
      <c r="W191" s="3" t="s">
        <v>2759</v>
      </c>
      <c r="X191" s="3" t="s">
        <v>306</v>
      </c>
      <c r="Y191" s="3" t="s">
        <v>2760</v>
      </c>
      <c r="Z191" s="3" t="s">
        <v>2761</v>
      </c>
      <c r="AA191" s="3" t="s">
        <v>2762</v>
      </c>
      <c r="AB191" s="3" t="s">
        <v>2763</v>
      </c>
      <c r="AC191" s="3" t="s">
        <v>2764</v>
      </c>
      <c r="AD191" s="3" t="s">
        <v>2765</v>
      </c>
      <c r="AE191" s="3" t="s">
        <v>79</v>
      </c>
      <c r="AF191" s="3" t="s">
        <v>79</v>
      </c>
      <c r="AG191" s="3" t="s">
        <v>79</v>
      </c>
      <c r="AH191" s="3" t="s">
        <v>79</v>
      </c>
      <c r="AI191" s="3" t="s">
        <v>79</v>
      </c>
      <c r="AJ191" s="3">
        <v>13.0</v>
      </c>
      <c r="AK191" s="3">
        <v>0.0</v>
      </c>
      <c r="AL191" s="3">
        <v>0.0</v>
      </c>
      <c r="AM191" s="3" t="s">
        <v>79</v>
      </c>
      <c r="AN191" s="3" t="s">
        <v>79</v>
      </c>
      <c r="AO191" s="3" t="s">
        <v>79</v>
      </c>
      <c r="AP191" s="3" t="s">
        <v>79</v>
      </c>
      <c r="AQ191" s="3" t="s">
        <v>79</v>
      </c>
      <c r="AR191" s="3" t="s">
        <v>79</v>
      </c>
      <c r="AS191" s="3" t="s">
        <v>79</v>
      </c>
      <c r="AT191" s="3" t="s">
        <v>79</v>
      </c>
      <c r="AU191" s="3" t="s">
        <v>79</v>
      </c>
      <c r="AV191" s="3" t="s">
        <v>79</v>
      </c>
      <c r="AW191" s="3" t="s">
        <v>79</v>
      </c>
      <c r="AX191" s="3">
        <v>2015.0</v>
      </c>
      <c r="AY191" s="3" t="s">
        <v>79</v>
      </c>
      <c r="AZ191" s="3" t="s">
        <v>79</v>
      </c>
      <c r="BA191" s="3" t="s">
        <v>79</v>
      </c>
      <c r="BB191" s="3" t="s">
        <v>79</v>
      </c>
      <c r="BC191" s="3" t="s">
        <v>79</v>
      </c>
      <c r="BD191" s="3" t="s">
        <v>79</v>
      </c>
      <c r="BE191" s="3">
        <v>826.0</v>
      </c>
      <c r="BF191" s="3">
        <v>830.0</v>
      </c>
      <c r="BG191" s="3" t="s">
        <v>79</v>
      </c>
      <c r="BH191" s="3" t="s">
        <v>79</v>
      </c>
      <c r="BI191" s="3" t="s">
        <v>79</v>
      </c>
      <c r="BJ191" s="3" t="s">
        <v>79</v>
      </c>
      <c r="BK191" s="3" t="s">
        <v>79</v>
      </c>
      <c r="BL191" s="3" t="s">
        <v>79</v>
      </c>
      <c r="BM191" s="3" t="s">
        <v>79</v>
      </c>
      <c r="BN191" s="3" t="s">
        <v>79</v>
      </c>
      <c r="BO191" s="3" t="s">
        <v>183</v>
      </c>
      <c r="BP191" s="3" t="s">
        <v>79</v>
      </c>
      <c r="BQ191" s="3" t="s">
        <v>79</v>
      </c>
      <c r="BR191" s="3" t="s">
        <v>79</v>
      </c>
      <c r="BS191" s="3" t="s">
        <v>79</v>
      </c>
      <c r="BT191" s="3" t="s">
        <v>79</v>
      </c>
      <c r="BU191" s="3" t="s">
        <v>95</v>
      </c>
      <c r="BV191" s="3" t="s">
        <v>2766</v>
      </c>
      <c r="BW191" s="3" t="str">
        <f>HYPERLINK("https%3A%2F%2Fwww.webofscience.com%2Fwos%2Fwoscc%2Ffull-record%2FWOS:000380546900154","View Full Record in Web of Science")</f>
        <v>View Full Record in Web of Science</v>
      </c>
    </row>
    <row r="192" ht="12.75" customHeight="1">
      <c r="A192" s="13"/>
      <c r="B192" s="12"/>
      <c r="C192" s="13"/>
      <c r="D192" s="13" t="s">
        <v>185</v>
      </c>
      <c r="E192" s="3" t="s">
        <v>2767</v>
      </c>
      <c r="F192" s="3" t="s">
        <v>79</v>
      </c>
      <c r="G192" s="3" t="s">
        <v>79</v>
      </c>
      <c r="H192" s="3" t="s">
        <v>79</v>
      </c>
      <c r="I192" s="3" t="s">
        <v>2768</v>
      </c>
      <c r="J192" s="3" t="s">
        <v>79</v>
      </c>
      <c r="K192" s="3" t="s">
        <v>79</v>
      </c>
      <c r="L192" s="3" t="s">
        <v>2769</v>
      </c>
      <c r="M192" s="3" t="s">
        <v>2770</v>
      </c>
      <c r="N192" s="3" t="s">
        <v>79</v>
      </c>
      <c r="O192" s="3" t="s">
        <v>79</v>
      </c>
      <c r="P192" s="3" t="s">
        <v>79</v>
      </c>
      <c r="Q192" s="3" t="s">
        <v>190</v>
      </c>
      <c r="R192" s="3" t="s">
        <v>79</v>
      </c>
      <c r="S192" s="3" t="s">
        <v>79</v>
      </c>
      <c r="T192" s="3" t="s">
        <v>79</v>
      </c>
      <c r="U192" s="3" t="s">
        <v>79</v>
      </c>
      <c r="V192" s="3" t="s">
        <v>79</v>
      </c>
      <c r="W192" s="3" t="s">
        <v>2771</v>
      </c>
      <c r="X192" s="3" t="s">
        <v>2772</v>
      </c>
      <c r="Y192" s="3" t="s">
        <v>2773</v>
      </c>
      <c r="Z192" s="3" t="s">
        <v>2774</v>
      </c>
      <c r="AA192" s="3" t="s">
        <v>2775</v>
      </c>
      <c r="AB192" s="3" t="s">
        <v>2776</v>
      </c>
      <c r="AC192" s="3" t="s">
        <v>2777</v>
      </c>
      <c r="AD192" s="3" t="s">
        <v>2778</v>
      </c>
      <c r="AE192" s="3" t="s">
        <v>2248</v>
      </c>
      <c r="AF192" s="3" t="s">
        <v>79</v>
      </c>
      <c r="AG192" s="3" t="s">
        <v>79</v>
      </c>
      <c r="AH192" s="3" t="s">
        <v>79</v>
      </c>
      <c r="AI192" s="3" t="s">
        <v>79</v>
      </c>
      <c r="AJ192" s="3">
        <v>31.0</v>
      </c>
      <c r="AK192" s="3">
        <v>35.0</v>
      </c>
      <c r="AL192" s="3">
        <v>38.0</v>
      </c>
      <c r="AM192" s="3" t="s">
        <v>79</v>
      </c>
      <c r="AN192" s="3" t="s">
        <v>79</v>
      </c>
      <c r="AO192" s="3" t="s">
        <v>79</v>
      </c>
      <c r="AP192" s="3" t="s">
        <v>79</v>
      </c>
      <c r="AQ192" s="3" t="s">
        <v>79</v>
      </c>
      <c r="AR192" s="3" t="s">
        <v>79</v>
      </c>
      <c r="AS192" s="3" t="s">
        <v>79</v>
      </c>
      <c r="AT192" s="3" t="s">
        <v>79</v>
      </c>
      <c r="AU192" s="3" t="s">
        <v>79</v>
      </c>
      <c r="AV192" s="3" t="s">
        <v>79</v>
      </c>
      <c r="AW192" s="3" t="s">
        <v>2371</v>
      </c>
      <c r="AX192" s="3">
        <v>2011.0</v>
      </c>
      <c r="AY192" s="3">
        <v>12.0</v>
      </c>
      <c r="AZ192" s="3">
        <v>5.0</v>
      </c>
      <c r="BA192" s="3" t="s">
        <v>79</v>
      </c>
      <c r="BB192" s="3" t="s">
        <v>79</v>
      </c>
      <c r="BC192" s="3" t="s">
        <v>79</v>
      </c>
      <c r="BD192" s="3" t="s">
        <v>79</v>
      </c>
      <c r="BE192" s="3">
        <v>351.0</v>
      </c>
      <c r="BF192" s="3">
        <v>361.0</v>
      </c>
      <c r="BG192" s="3" t="s">
        <v>79</v>
      </c>
      <c r="BH192" s="3" t="s">
        <v>2779</v>
      </c>
      <c r="BI192" s="8" t="str">
        <f>HYPERLINK("http://dx.doi.org/10.1631/jzus.C1000208","http://dx.doi.org/10.1631/jzus.C1000208")</f>
        <v>http://dx.doi.org/10.1631/jzus.C1000208</v>
      </c>
      <c r="BJ192" s="3" t="s">
        <v>79</v>
      </c>
      <c r="BK192" s="3" t="s">
        <v>79</v>
      </c>
      <c r="BL192" s="3" t="s">
        <v>79</v>
      </c>
      <c r="BM192" s="3" t="s">
        <v>79</v>
      </c>
      <c r="BN192" s="3" t="s">
        <v>79</v>
      </c>
      <c r="BO192" s="3" t="s">
        <v>152</v>
      </c>
      <c r="BP192" s="3" t="s">
        <v>79</v>
      </c>
      <c r="BQ192" s="3" t="s">
        <v>79</v>
      </c>
      <c r="BR192" s="3" t="s">
        <v>79</v>
      </c>
      <c r="BS192" s="3" t="s">
        <v>79</v>
      </c>
      <c r="BT192" s="3" t="s">
        <v>79</v>
      </c>
      <c r="BU192" s="3" t="s">
        <v>95</v>
      </c>
      <c r="BV192" s="3" t="s">
        <v>2780</v>
      </c>
      <c r="BW192" s="3" t="str">
        <f>HYPERLINK("https%3A%2F%2Fwww.webofscience.com%2Fwos%2Fwoscc%2Ffull-record%2FWOS:000290579600001","View Full Record in Web of Science")</f>
        <v>View Full Record in Web of Science</v>
      </c>
    </row>
    <row r="193" ht="12.75" customHeight="1">
      <c r="A193" s="13"/>
      <c r="B193" s="12"/>
      <c r="C193" s="13"/>
      <c r="D193" s="13" t="s">
        <v>77</v>
      </c>
      <c r="E193" s="3" t="s">
        <v>2781</v>
      </c>
      <c r="F193" s="3" t="s">
        <v>79</v>
      </c>
      <c r="G193" s="3" t="s">
        <v>2782</v>
      </c>
      <c r="H193" s="3" t="s">
        <v>79</v>
      </c>
      <c r="I193" s="3" t="s">
        <v>2783</v>
      </c>
      <c r="J193" s="3" t="s">
        <v>79</v>
      </c>
      <c r="K193" s="3" t="s">
        <v>79</v>
      </c>
      <c r="L193" s="3" t="s">
        <v>2784</v>
      </c>
      <c r="M193" s="3" t="s">
        <v>2785</v>
      </c>
      <c r="N193" s="3" t="s">
        <v>1097</v>
      </c>
      <c r="O193" s="3" t="s">
        <v>79</v>
      </c>
      <c r="P193" s="3" t="s">
        <v>79</v>
      </c>
      <c r="Q193" s="3" t="s">
        <v>84</v>
      </c>
      <c r="R193" s="3" t="s">
        <v>79</v>
      </c>
      <c r="S193" s="3" t="s">
        <v>79</v>
      </c>
      <c r="T193" s="3" t="s">
        <v>79</v>
      </c>
      <c r="U193" s="3" t="s">
        <v>79</v>
      </c>
      <c r="V193" s="3" t="s">
        <v>79</v>
      </c>
      <c r="W193" s="3" t="s">
        <v>2786</v>
      </c>
      <c r="X193" s="3" t="s">
        <v>79</v>
      </c>
      <c r="Y193" s="3" t="s">
        <v>2787</v>
      </c>
      <c r="Z193" s="3" t="s">
        <v>2788</v>
      </c>
      <c r="AA193" s="3" t="s">
        <v>79</v>
      </c>
      <c r="AB193" s="3" t="s">
        <v>2789</v>
      </c>
      <c r="AC193" s="3" t="s">
        <v>2790</v>
      </c>
      <c r="AD193" s="3" t="s">
        <v>2791</v>
      </c>
      <c r="AE193" s="3" t="s">
        <v>79</v>
      </c>
      <c r="AF193" s="3" t="s">
        <v>79</v>
      </c>
      <c r="AG193" s="3" t="s">
        <v>79</v>
      </c>
      <c r="AH193" s="3" t="s">
        <v>79</v>
      </c>
      <c r="AI193" s="3" t="s">
        <v>79</v>
      </c>
      <c r="AJ193" s="3">
        <v>7.0</v>
      </c>
      <c r="AK193" s="3">
        <v>6.0</v>
      </c>
      <c r="AL193" s="3">
        <v>7.0</v>
      </c>
      <c r="AM193" s="3" t="s">
        <v>79</v>
      </c>
      <c r="AN193" s="3" t="s">
        <v>79</v>
      </c>
      <c r="AO193" s="3" t="s">
        <v>79</v>
      </c>
      <c r="AP193" s="3" t="s">
        <v>79</v>
      </c>
      <c r="AQ193" s="3" t="s">
        <v>79</v>
      </c>
      <c r="AR193" s="3" t="s">
        <v>79</v>
      </c>
      <c r="AS193" s="3" t="s">
        <v>79</v>
      </c>
      <c r="AT193" s="3" t="s">
        <v>79</v>
      </c>
      <c r="AU193" s="3" t="s">
        <v>79</v>
      </c>
      <c r="AV193" s="3" t="s">
        <v>79</v>
      </c>
      <c r="AW193" s="3" t="s">
        <v>79</v>
      </c>
      <c r="AX193" s="3">
        <v>2014.0</v>
      </c>
      <c r="AY193" s="3">
        <v>49.0</v>
      </c>
      <c r="AZ193" s="3" t="s">
        <v>79</v>
      </c>
      <c r="BA193" s="3" t="s">
        <v>79</v>
      </c>
      <c r="BB193" s="3" t="s">
        <v>79</v>
      </c>
      <c r="BC193" s="3" t="s">
        <v>79</v>
      </c>
      <c r="BD193" s="3" t="s">
        <v>79</v>
      </c>
      <c r="BE193" s="3">
        <v>944.0</v>
      </c>
      <c r="BF193" s="3">
        <v>947.0</v>
      </c>
      <c r="BG193" s="3" t="s">
        <v>79</v>
      </c>
      <c r="BH193" s="3" t="s">
        <v>2792</v>
      </c>
      <c r="BI193" s="8" t="str">
        <f>HYPERLINK("http://dx.doi.org/10.1007/978-3-319-13117-7_239","http://dx.doi.org/10.1007/978-3-319-13117-7_239")</f>
        <v>http://dx.doi.org/10.1007/978-3-319-13117-7_239</v>
      </c>
      <c r="BJ193" s="3" t="s">
        <v>79</v>
      </c>
      <c r="BK193" s="3" t="s">
        <v>79</v>
      </c>
      <c r="BL193" s="3" t="s">
        <v>79</v>
      </c>
      <c r="BM193" s="3" t="s">
        <v>79</v>
      </c>
      <c r="BN193" s="3" t="s">
        <v>79</v>
      </c>
      <c r="BO193" s="3" t="s">
        <v>653</v>
      </c>
      <c r="BP193" s="3" t="s">
        <v>79</v>
      </c>
      <c r="BQ193" s="3" t="s">
        <v>79</v>
      </c>
      <c r="BR193" s="3" t="s">
        <v>79</v>
      </c>
      <c r="BS193" s="3" t="s">
        <v>79</v>
      </c>
      <c r="BT193" s="3" t="s">
        <v>79</v>
      </c>
      <c r="BU193" s="3" t="s">
        <v>95</v>
      </c>
      <c r="BV193" s="3" t="s">
        <v>2793</v>
      </c>
      <c r="BW193" s="3" t="str">
        <f>HYPERLINK("https%3A%2F%2Fwww.webofscience.com%2Fwos%2Fwoscc%2Ffull-record%2FWOS:000363767200238","View Full Record in Web of Science")</f>
        <v>View Full Record in Web of Science</v>
      </c>
    </row>
    <row r="194" ht="12.75" customHeight="1">
      <c r="A194" s="13"/>
      <c r="B194" s="12"/>
      <c r="C194" s="13"/>
      <c r="D194" s="13" t="s">
        <v>77</v>
      </c>
      <c r="E194" s="3" t="s">
        <v>2794</v>
      </c>
      <c r="F194" s="3" t="s">
        <v>79</v>
      </c>
      <c r="G194" s="3" t="s">
        <v>79</v>
      </c>
      <c r="H194" s="3" t="s">
        <v>80</v>
      </c>
      <c r="I194" s="3" t="s">
        <v>2795</v>
      </c>
      <c r="J194" s="3" t="s">
        <v>79</v>
      </c>
      <c r="K194" s="3" t="s">
        <v>79</v>
      </c>
      <c r="L194" s="3" t="s">
        <v>2796</v>
      </c>
      <c r="M194" s="3" t="s">
        <v>2797</v>
      </c>
      <c r="N194" s="3" t="s">
        <v>703</v>
      </c>
      <c r="O194" s="3" t="s">
        <v>79</v>
      </c>
      <c r="P194" s="3" t="s">
        <v>79</v>
      </c>
      <c r="Q194" s="3" t="s">
        <v>84</v>
      </c>
      <c r="R194" s="3" t="s">
        <v>79</v>
      </c>
      <c r="S194" s="3" t="s">
        <v>79</v>
      </c>
      <c r="T194" s="3" t="s">
        <v>79</v>
      </c>
      <c r="U194" s="3" t="s">
        <v>79</v>
      </c>
      <c r="V194" s="3" t="s">
        <v>79</v>
      </c>
      <c r="W194" s="3" t="s">
        <v>2798</v>
      </c>
      <c r="X194" s="3" t="s">
        <v>2799</v>
      </c>
      <c r="Y194" s="3" t="s">
        <v>2800</v>
      </c>
      <c r="Z194" s="3" t="s">
        <v>2801</v>
      </c>
      <c r="AA194" s="3" t="s">
        <v>2802</v>
      </c>
      <c r="AB194" s="3" t="s">
        <v>2803</v>
      </c>
      <c r="AC194" s="3" t="s">
        <v>2804</v>
      </c>
      <c r="AD194" s="3" t="s">
        <v>79</v>
      </c>
      <c r="AE194" s="3" t="s">
        <v>711</v>
      </c>
      <c r="AF194" s="3" t="s">
        <v>79</v>
      </c>
      <c r="AG194" s="3" t="s">
        <v>79</v>
      </c>
      <c r="AH194" s="3" t="s">
        <v>79</v>
      </c>
      <c r="AI194" s="3" t="s">
        <v>79</v>
      </c>
      <c r="AJ194" s="3">
        <v>18.0</v>
      </c>
      <c r="AK194" s="3">
        <v>8.0</v>
      </c>
      <c r="AL194" s="3">
        <v>9.0</v>
      </c>
      <c r="AM194" s="3" t="s">
        <v>79</v>
      </c>
      <c r="AN194" s="3" t="s">
        <v>79</v>
      </c>
      <c r="AO194" s="3" t="s">
        <v>79</v>
      </c>
      <c r="AP194" s="3" t="s">
        <v>79</v>
      </c>
      <c r="AQ194" s="3" t="s">
        <v>79</v>
      </c>
      <c r="AR194" s="3" t="s">
        <v>79</v>
      </c>
      <c r="AS194" s="3" t="s">
        <v>79</v>
      </c>
      <c r="AT194" s="3" t="s">
        <v>79</v>
      </c>
      <c r="AU194" s="3" t="s">
        <v>79</v>
      </c>
      <c r="AV194" s="3" t="s">
        <v>79</v>
      </c>
      <c r="AW194" s="3" t="s">
        <v>79</v>
      </c>
      <c r="AX194" s="3">
        <v>2017.0</v>
      </c>
      <c r="AY194" s="3" t="s">
        <v>79</v>
      </c>
      <c r="AZ194" s="3" t="s">
        <v>79</v>
      </c>
      <c r="BA194" s="3" t="s">
        <v>79</v>
      </c>
      <c r="BB194" s="3" t="s">
        <v>79</v>
      </c>
      <c r="BC194" s="3" t="s">
        <v>79</v>
      </c>
      <c r="BD194" s="3" t="s">
        <v>79</v>
      </c>
      <c r="BE194" s="3">
        <v>2302.0</v>
      </c>
      <c r="BF194" s="3">
        <v>2307.0</v>
      </c>
      <c r="BG194" s="3" t="s">
        <v>79</v>
      </c>
      <c r="BH194" s="3" t="s">
        <v>79</v>
      </c>
      <c r="BI194" s="3" t="s">
        <v>79</v>
      </c>
      <c r="BJ194" s="3" t="s">
        <v>79</v>
      </c>
      <c r="BK194" s="3" t="s">
        <v>79</v>
      </c>
      <c r="BL194" s="3" t="s">
        <v>79</v>
      </c>
      <c r="BM194" s="3" t="s">
        <v>79</v>
      </c>
      <c r="BN194" s="3" t="s">
        <v>79</v>
      </c>
      <c r="BO194" s="3" t="s">
        <v>275</v>
      </c>
      <c r="BP194" s="3" t="s">
        <v>79</v>
      </c>
      <c r="BQ194" s="3" t="s">
        <v>79</v>
      </c>
      <c r="BR194" s="3" t="s">
        <v>79</v>
      </c>
      <c r="BS194" s="3" t="s">
        <v>79</v>
      </c>
      <c r="BT194" s="3" t="s">
        <v>79</v>
      </c>
      <c r="BU194" s="3" t="s">
        <v>95</v>
      </c>
      <c r="BV194" s="3" t="s">
        <v>2805</v>
      </c>
      <c r="BW194" s="3" t="str">
        <f>HYPERLINK("https%3A%2F%2Fwww.webofscience.com%2Fwos%2Fwoscc%2Ffull-record%2FWOS:000427598702059","View Full Record in Web of Science")</f>
        <v>View Full Record in Web of Science</v>
      </c>
    </row>
    <row r="195" ht="12.75" customHeight="1">
      <c r="A195" s="13"/>
      <c r="B195" s="12"/>
      <c r="C195" s="13"/>
      <c r="D195" s="13" t="s">
        <v>185</v>
      </c>
      <c r="E195" s="3" t="s">
        <v>2806</v>
      </c>
      <c r="F195" s="3" t="s">
        <v>79</v>
      </c>
      <c r="G195" s="3" t="s">
        <v>79</v>
      </c>
      <c r="H195" s="3" t="s">
        <v>79</v>
      </c>
      <c r="I195" s="3" t="s">
        <v>2807</v>
      </c>
      <c r="J195" s="3" t="s">
        <v>79</v>
      </c>
      <c r="K195" s="3" t="s">
        <v>79</v>
      </c>
      <c r="L195" s="3" t="s">
        <v>2808</v>
      </c>
      <c r="M195" s="3" t="s">
        <v>2809</v>
      </c>
      <c r="N195" s="3" t="s">
        <v>79</v>
      </c>
      <c r="O195" s="3" t="s">
        <v>79</v>
      </c>
      <c r="P195" s="3" t="s">
        <v>79</v>
      </c>
      <c r="Q195" s="3" t="s">
        <v>190</v>
      </c>
      <c r="R195" s="3" t="s">
        <v>79</v>
      </c>
      <c r="S195" s="3" t="s">
        <v>79</v>
      </c>
      <c r="T195" s="3" t="s">
        <v>79</v>
      </c>
      <c r="U195" s="3" t="s">
        <v>79</v>
      </c>
      <c r="V195" s="3" t="s">
        <v>79</v>
      </c>
      <c r="W195" s="3" t="s">
        <v>2810</v>
      </c>
      <c r="X195" s="3" t="s">
        <v>2811</v>
      </c>
      <c r="Y195" s="3" t="s">
        <v>2812</v>
      </c>
      <c r="Z195" s="3" t="s">
        <v>2813</v>
      </c>
      <c r="AA195" s="3" t="s">
        <v>1207</v>
      </c>
      <c r="AB195" s="3" t="s">
        <v>2814</v>
      </c>
      <c r="AC195" s="3" t="s">
        <v>2815</v>
      </c>
      <c r="AD195" s="3" t="s">
        <v>2816</v>
      </c>
      <c r="AE195" s="3" t="s">
        <v>2817</v>
      </c>
      <c r="AF195" s="3" t="s">
        <v>79</v>
      </c>
      <c r="AG195" s="3" t="s">
        <v>79</v>
      </c>
      <c r="AH195" s="3" t="s">
        <v>79</v>
      </c>
      <c r="AI195" s="3" t="s">
        <v>79</v>
      </c>
      <c r="AJ195" s="3">
        <v>79.0</v>
      </c>
      <c r="AK195" s="3">
        <v>84.0</v>
      </c>
      <c r="AL195" s="3">
        <v>96.0</v>
      </c>
      <c r="AM195" s="3" t="s">
        <v>79</v>
      </c>
      <c r="AN195" s="3" t="s">
        <v>79</v>
      </c>
      <c r="AO195" s="3" t="s">
        <v>79</v>
      </c>
      <c r="AP195" s="3" t="s">
        <v>79</v>
      </c>
      <c r="AQ195" s="3" t="s">
        <v>79</v>
      </c>
      <c r="AR195" s="3" t="s">
        <v>79</v>
      </c>
      <c r="AS195" s="3" t="s">
        <v>79</v>
      </c>
      <c r="AT195" s="3" t="s">
        <v>79</v>
      </c>
      <c r="AU195" s="3" t="s">
        <v>79</v>
      </c>
      <c r="AV195" s="3" t="s">
        <v>79</v>
      </c>
      <c r="AW195" s="3" t="s">
        <v>1147</v>
      </c>
      <c r="AX195" s="3">
        <v>2012.0</v>
      </c>
      <c r="AY195" s="3">
        <v>84.0</v>
      </c>
      <c r="AZ195" s="3">
        <v>1.0</v>
      </c>
      <c r="BA195" s="3" t="s">
        <v>79</v>
      </c>
      <c r="BB195" s="3" t="s">
        <v>79</v>
      </c>
      <c r="BC195" s="3" t="s">
        <v>79</v>
      </c>
      <c r="BD195" s="3" t="s">
        <v>79</v>
      </c>
      <c r="BE195" s="3">
        <v>86.0</v>
      </c>
      <c r="BF195" s="3">
        <v>94.0</v>
      </c>
      <c r="BG195" s="3" t="s">
        <v>79</v>
      </c>
      <c r="BH195" s="3" t="s">
        <v>2818</v>
      </c>
      <c r="BI195" s="8" t="str">
        <f>HYPERLINK("http://dx.doi.org/10.1016/j.ijpsycho.2012.01.014","http://dx.doi.org/10.1016/j.ijpsycho.2012.01.014")</f>
        <v>http://dx.doi.org/10.1016/j.ijpsycho.2012.01.014</v>
      </c>
      <c r="BJ195" s="3" t="s">
        <v>79</v>
      </c>
      <c r="BK195" s="3" t="s">
        <v>79</v>
      </c>
      <c r="BL195" s="3" t="s">
        <v>79</v>
      </c>
      <c r="BM195" s="3" t="s">
        <v>79</v>
      </c>
      <c r="BN195" s="3" t="s">
        <v>79</v>
      </c>
      <c r="BO195" s="3" t="s">
        <v>2819</v>
      </c>
      <c r="BP195" s="3" t="s">
        <v>79</v>
      </c>
      <c r="BQ195" s="3" t="s">
        <v>79</v>
      </c>
      <c r="BR195" s="3" t="s">
        <v>79</v>
      </c>
      <c r="BS195" s="3" t="s">
        <v>79</v>
      </c>
      <c r="BT195" s="3" t="s">
        <v>79</v>
      </c>
      <c r="BU195" s="3" t="s">
        <v>95</v>
      </c>
      <c r="BV195" s="3" t="s">
        <v>2820</v>
      </c>
      <c r="BW195" s="3" t="str">
        <f>HYPERLINK("https%3A%2F%2Fwww.webofscience.com%2Fwos%2Fwoscc%2Ffull-record%2FWOS:000303847200012","View Full Record in Web of Science")</f>
        <v>View Full Record in Web of Science</v>
      </c>
    </row>
    <row r="196" ht="12.75" customHeight="1">
      <c r="A196" s="13"/>
      <c r="B196" s="12"/>
      <c r="C196" s="13"/>
      <c r="D196" s="13" t="s">
        <v>185</v>
      </c>
      <c r="E196" s="3" t="s">
        <v>2821</v>
      </c>
      <c r="F196" s="3" t="s">
        <v>79</v>
      </c>
      <c r="G196" s="3" t="s">
        <v>79</v>
      </c>
      <c r="H196" s="3" t="s">
        <v>79</v>
      </c>
      <c r="I196" s="3" t="s">
        <v>2822</v>
      </c>
      <c r="J196" s="3" t="s">
        <v>79</v>
      </c>
      <c r="K196" s="3" t="s">
        <v>79</v>
      </c>
      <c r="L196" s="3" t="s">
        <v>2823</v>
      </c>
      <c r="M196" s="3" t="s">
        <v>2824</v>
      </c>
      <c r="N196" s="3" t="s">
        <v>79</v>
      </c>
      <c r="O196" s="3" t="s">
        <v>79</v>
      </c>
      <c r="P196" s="3" t="s">
        <v>79</v>
      </c>
      <c r="Q196" s="3" t="s">
        <v>190</v>
      </c>
      <c r="R196" s="3" t="s">
        <v>79</v>
      </c>
      <c r="S196" s="3" t="s">
        <v>79</v>
      </c>
      <c r="T196" s="3" t="s">
        <v>79</v>
      </c>
      <c r="U196" s="3" t="s">
        <v>79</v>
      </c>
      <c r="V196" s="3" t="s">
        <v>79</v>
      </c>
      <c r="W196" s="3" t="s">
        <v>2825</v>
      </c>
      <c r="X196" s="3" t="s">
        <v>2826</v>
      </c>
      <c r="Y196" s="3" t="s">
        <v>2827</v>
      </c>
      <c r="Z196" s="3" t="s">
        <v>2828</v>
      </c>
      <c r="AA196" s="3" t="s">
        <v>2829</v>
      </c>
      <c r="AB196" s="3" t="s">
        <v>2830</v>
      </c>
      <c r="AC196" s="3" t="s">
        <v>2831</v>
      </c>
      <c r="AD196" s="3" t="s">
        <v>2832</v>
      </c>
      <c r="AE196" s="3" t="s">
        <v>2833</v>
      </c>
      <c r="AF196" s="3" t="s">
        <v>79</v>
      </c>
      <c r="AG196" s="3" t="s">
        <v>79</v>
      </c>
      <c r="AH196" s="3" t="s">
        <v>79</v>
      </c>
      <c r="AI196" s="3" t="s">
        <v>79</v>
      </c>
      <c r="AJ196" s="3">
        <v>78.0</v>
      </c>
      <c r="AK196" s="3">
        <v>92.0</v>
      </c>
      <c r="AL196" s="3">
        <v>109.0</v>
      </c>
      <c r="AM196" s="3" t="s">
        <v>79</v>
      </c>
      <c r="AN196" s="3" t="s">
        <v>79</v>
      </c>
      <c r="AO196" s="3" t="s">
        <v>79</v>
      </c>
      <c r="AP196" s="3" t="s">
        <v>79</v>
      </c>
      <c r="AQ196" s="3" t="s">
        <v>79</v>
      </c>
      <c r="AR196" s="3" t="s">
        <v>79</v>
      </c>
      <c r="AS196" s="3" t="s">
        <v>79</v>
      </c>
      <c r="AT196" s="3" t="s">
        <v>79</v>
      </c>
      <c r="AU196" s="3" t="s">
        <v>79</v>
      </c>
      <c r="AV196" s="3" t="s">
        <v>79</v>
      </c>
      <c r="AW196" s="3" t="s">
        <v>2834</v>
      </c>
      <c r="AX196" s="3">
        <v>2016.0</v>
      </c>
      <c r="AY196" s="3">
        <v>13.0</v>
      </c>
      <c r="AZ196" s="3" t="s">
        <v>79</v>
      </c>
      <c r="BA196" s="3" t="s">
        <v>79</v>
      </c>
      <c r="BB196" s="3" t="s">
        <v>79</v>
      </c>
      <c r="BC196" s="3" t="s">
        <v>79</v>
      </c>
      <c r="BD196" s="3" t="s">
        <v>79</v>
      </c>
      <c r="BE196" s="3" t="s">
        <v>79</v>
      </c>
      <c r="BF196" s="3" t="s">
        <v>79</v>
      </c>
      <c r="BG196" s="3">
        <v>69.0</v>
      </c>
      <c r="BH196" s="3" t="s">
        <v>2835</v>
      </c>
      <c r="BI196" s="8" t="str">
        <f>HYPERLINK("http://dx.doi.org/10.1186/s12984-016-0173-2","http://dx.doi.org/10.1186/s12984-016-0173-2")</f>
        <v>http://dx.doi.org/10.1186/s12984-016-0173-2</v>
      </c>
      <c r="BJ196" s="3" t="s">
        <v>79</v>
      </c>
      <c r="BK196" s="3" t="s">
        <v>79</v>
      </c>
      <c r="BL196" s="3" t="s">
        <v>79</v>
      </c>
      <c r="BM196" s="3" t="s">
        <v>79</v>
      </c>
      <c r="BN196" s="3" t="s">
        <v>79</v>
      </c>
      <c r="BO196" s="3" t="s">
        <v>2836</v>
      </c>
      <c r="BP196" s="3" t="s">
        <v>79</v>
      </c>
      <c r="BQ196" s="3" t="s">
        <v>79</v>
      </c>
      <c r="BR196" s="3" t="s">
        <v>79</v>
      </c>
      <c r="BS196" s="3" t="s">
        <v>79</v>
      </c>
      <c r="BT196" s="3" t="s">
        <v>79</v>
      </c>
      <c r="BU196" s="3" t="s">
        <v>95</v>
      </c>
      <c r="BV196" s="3" t="s">
        <v>2837</v>
      </c>
      <c r="BW196" s="3" t="str">
        <f>HYPERLINK("https%3A%2F%2Fwww.webofscience.com%2Fwos%2Fwoscc%2Ffull-record%2FWOS:000381337100002","View Full Record in Web of Science")</f>
        <v>View Full Record in Web of Science</v>
      </c>
    </row>
    <row r="197" ht="12.75" customHeight="1">
      <c r="A197" s="13"/>
      <c r="B197" s="12"/>
      <c r="C197" s="13"/>
      <c r="D197" s="13" t="s">
        <v>185</v>
      </c>
      <c r="E197" s="3" t="s">
        <v>2838</v>
      </c>
      <c r="F197" s="3" t="s">
        <v>79</v>
      </c>
      <c r="G197" s="3" t="s">
        <v>79</v>
      </c>
      <c r="H197" s="3" t="s">
        <v>79</v>
      </c>
      <c r="I197" s="3" t="s">
        <v>2839</v>
      </c>
      <c r="J197" s="3" t="s">
        <v>79</v>
      </c>
      <c r="K197" s="3" t="s">
        <v>79</v>
      </c>
      <c r="L197" s="3" t="s">
        <v>2840</v>
      </c>
      <c r="M197" s="3" t="s">
        <v>2841</v>
      </c>
      <c r="N197" s="3" t="s">
        <v>79</v>
      </c>
      <c r="O197" s="3" t="s">
        <v>79</v>
      </c>
      <c r="P197" s="3" t="s">
        <v>79</v>
      </c>
      <c r="Q197" s="3" t="s">
        <v>190</v>
      </c>
      <c r="R197" s="3" t="s">
        <v>79</v>
      </c>
      <c r="S197" s="3" t="s">
        <v>79</v>
      </c>
      <c r="T197" s="3" t="s">
        <v>79</v>
      </c>
      <c r="U197" s="3" t="s">
        <v>79</v>
      </c>
      <c r="V197" s="3" t="s">
        <v>79</v>
      </c>
      <c r="W197" s="3" t="s">
        <v>2842</v>
      </c>
      <c r="X197" s="3" t="s">
        <v>2843</v>
      </c>
      <c r="Y197" s="3" t="s">
        <v>2844</v>
      </c>
      <c r="Z197" s="3" t="s">
        <v>2845</v>
      </c>
      <c r="AA197" s="3" t="s">
        <v>2846</v>
      </c>
      <c r="AB197" s="3" t="s">
        <v>2847</v>
      </c>
      <c r="AC197" s="3" t="s">
        <v>2848</v>
      </c>
      <c r="AD197" s="3" t="s">
        <v>2849</v>
      </c>
      <c r="AE197" s="3" t="s">
        <v>79</v>
      </c>
      <c r="AF197" s="3" t="s">
        <v>79</v>
      </c>
      <c r="AG197" s="3" t="s">
        <v>79</v>
      </c>
      <c r="AH197" s="3" t="s">
        <v>79</v>
      </c>
      <c r="AI197" s="3" t="s">
        <v>79</v>
      </c>
      <c r="AJ197" s="3">
        <v>48.0</v>
      </c>
      <c r="AK197" s="3">
        <v>22.0</v>
      </c>
      <c r="AL197" s="3">
        <v>22.0</v>
      </c>
      <c r="AM197" s="3" t="s">
        <v>79</v>
      </c>
      <c r="AN197" s="3" t="s">
        <v>79</v>
      </c>
      <c r="AO197" s="3" t="s">
        <v>79</v>
      </c>
      <c r="AP197" s="3" t="s">
        <v>79</v>
      </c>
      <c r="AQ197" s="3" t="s">
        <v>79</v>
      </c>
      <c r="AR197" s="3" t="s">
        <v>79</v>
      </c>
      <c r="AS197" s="3" t="s">
        <v>79</v>
      </c>
      <c r="AT197" s="3" t="s">
        <v>79</v>
      </c>
      <c r="AU197" s="3" t="s">
        <v>79</v>
      </c>
      <c r="AV197" s="3" t="s">
        <v>79</v>
      </c>
      <c r="AW197" s="3" t="s">
        <v>527</v>
      </c>
      <c r="AX197" s="3">
        <v>2015.0</v>
      </c>
      <c r="AY197" s="3">
        <v>25.0</v>
      </c>
      <c r="AZ197" s="3">
        <v>4.0</v>
      </c>
      <c r="BA197" s="3" t="s">
        <v>79</v>
      </c>
      <c r="BB197" s="3" t="s">
        <v>79</v>
      </c>
      <c r="BC197" s="3" t="s">
        <v>79</v>
      </c>
      <c r="BD197" s="3" t="s">
        <v>79</v>
      </c>
      <c r="BE197" s="3" t="s">
        <v>79</v>
      </c>
      <c r="BF197" s="3" t="s">
        <v>79</v>
      </c>
      <c r="BG197" s="3">
        <v>1550013.0</v>
      </c>
      <c r="BH197" s="3" t="s">
        <v>2850</v>
      </c>
      <c r="BI197" s="8" t="str">
        <f>HYPERLINK("http://dx.doi.org/10.1142/S0129065715500136","http://dx.doi.org/10.1142/S0129065715500136")</f>
        <v>http://dx.doi.org/10.1142/S0129065715500136</v>
      </c>
      <c r="BJ197" s="3" t="s">
        <v>79</v>
      </c>
      <c r="BK197" s="3" t="s">
        <v>79</v>
      </c>
      <c r="BL197" s="3" t="s">
        <v>79</v>
      </c>
      <c r="BM197" s="3" t="s">
        <v>79</v>
      </c>
      <c r="BN197" s="3" t="s">
        <v>79</v>
      </c>
      <c r="BO197" s="3" t="s">
        <v>275</v>
      </c>
      <c r="BP197" s="3" t="s">
        <v>79</v>
      </c>
      <c r="BQ197" s="3" t="s">
        <v>79</v>
      </c>
      <c r="BR197" s="3" t="s">
        <v>79</v>
      </c>
      <c r="BS197" s="3" t="s">
        <v>79</v>
      </c>
      <c r="BT197" s="3" t="s">
        <v>79</v>
      </c>
      <c r="BU197" s="3" t="s">
        <v>95</v>
      </c>
      <c r="BV197" s="3" t="s">
        <v>2851</v>
      </c>
      <c r="BW197" s="3" t="str">
        <f>HYPERLINK("https%3A%2F%2Fwww.webofscience.com%2Fwos%2Fwoscc%2Ffull-record%2FWOS:000355328600003","View Full Record in Web of Science")</f>
        <v>View Full Record in Web of Science</v>
      </c>
    </row>
    <row r="198" ht="12.75" customHeight="1">
      <c r="A198" s="13"/>
      <c r="B198" s="12"/>
      <c r="C198" s="13"/>
      <c r="D198" s="13" t="s">
        <v>185</v>
      </c>
      <c r="E198" s="3" t="s">
        <v>2852</v>
      </c>
      <c r="F198" s="3" t="s">
        <v>79</v>
      </c>
      <c r="G198" s="3" t="s">
        <v>79</v>
      </c>
      <c r="H198" s="3" t="s">
        <v>79</v>
      </c>
      <c r="I198" s="3" t="s">
        <v>2853</v>
      </c>
      <c r="J198" s="3" t="s">
        <v>79</v>
      </c>
      <c r="K198" s="3" t="s">
        <v>79</v>
      </c>
      <c r="L198" s="3" t="s">
        <v>2854</v>
      </c>
      <c r="M198" s="3" t="s">
        <v>189</v>
      </c>
      <c r="N198" s="3" t="s">
        <v>79</v>
      </c>
      <c r="O198" s="3" t="s">
        <v>79</v>
      </c>
      <c r="P198" s="3" t="s">
        <v>79</v>
      </c>
      <c r="Q198" s="3" t="s">
        <v>190</v>
      </c>
      <c r="R198" s="3" t="s">
        <v>79</v>
      </c>
      <c r="S198" s="3" t="s">
        <v>79</v>
      </c>
      <c r="T198" s="3" t="s">
        <v>79</v>
      </c>
      <c r="U198" s="3" t="s">
        <v>79</v>
      </c>
      <c r="V198" s="3" t="s">
        <v>79</v>
      </c>
      <c r="W198" s="3" t="s">
        <v>2855</v>
      </c>
      <c r="X198" s="3" t="s">
        <v>2856</v>
      </c>
      <c r="Y198" s="3" t="s">
        <v>2857</v>
      </c>
      <c r="Z198" s="3" t="s">
        <v>2858</v>
      </c>
      <c r="AA198" s="3" t="s">
        <v>2859</v>
      </c>
      <c r="AB198" s="3" t="s">
        <v>2860</v>
      </c>
      <c r="AC198" s="3" t="s">
        <v>2861</v>
      </c>
      <c r="AD198" s="3" t="s">
        <v>2862</v>
      </c>
      <c r="AE198" s="3" t="s">
        <v>79</v>
      </c>
      <c r="AF198" s="3" t="s">
        <v>79</v>
      </c>
      <c r="AG198" s="3" t="s">
        <v>79</v>
      </c>
      <c r="AH198" s="3" t="s">
        <v>79</v>
      </c>
      <c r="AI198" s="3" t="s">
        <v>79</v>
      </c>
      <c r="AJ198" s="3">
        <v>41.0</v>
      </c>
      <c r="AK198" s="3">
        <v>14.0</v>
      </c>
      <c r="AL198" s="3">
        <v>14.0</v>
      </c>
      <c r="AM198" s="3" t="s">
        <v>79</v>
      </c>
      <c r="AN198" s="3" t="s">
        <v>79</v>
      </c>
      <c r="AO198" s="3" t="s">
        <v>79</v>
      </c>
      <c r="AP198" s="3" t="s">
        <v>79</v>
      </c>
      <c r="AQ198" s="3" t="s">
        <v>79</v>
      </c>
      <c r="AR198" s="3" t="s">
        <v>79</v>
      </c>
      <c r="AS198" s="3" t="s">
        <v>79</v>
      </c>
      <c r="AT198" s="3" t="s">
        <v>79</v>
      </c>
      <c r="AU198" s="3" t="s">
        <v>79</v>
      </c>
      <c r="AV198" s="3" t="s">
        <v>79</v>
      </c>
      <c r="AW198" s="3" t="s">
        <v>2863</v>
      </c>
      <c r="AX198" s="3">
        <v>2023.0</v>
      </c>
      <c r="AY198" s="3">
        <v>16.0</v>
      </c>
      <c r="AZ198" s="3" t="s">
        <v>79</v>
      </c>
      <c r="BA198" s="3" t="s">
        <v>79</v>
      </c>
      <c r="BB198" s="3" t="s">
        <v>79</v>
      </c>
      <c r="BC198" s="3" t="s">
        <v>79</v>
      </c>
      <c r="BD198" s="3" t="s">
        <v>79</v>
      </c>
      <c r="BE198" s="3" t="s">
        <v>79</v>
      </c>
      <c r="BF198" s="3" t="s">
        <v>79</v>
      </c>
      <c r="BG198" s="3">
        <v>1097660.0</v>
      </c>
      <c r="BH198" s="3" t="s">
        <v>2864</v>
      </c>
      <c r="BI198" s="8" t="str">
        <f>HYPERLINK("http://dx.doi.org/10.3389/fnins.2022.1097660","http://dx.doi.org/10.3389/fnins.2022.1097660")</f>
        <v>http://dx.doi.org/10.3389/fnins.2022.1097660</v>
      </c>
      <c r="BJ198" s="3" t="s">
        <v>79</v>
      </c>
      <c r="BK198" s="3" t="s">
        <v>79</v>
      </c>
      <c r="BL198" s="3" t="s">
        <v>79</v>
      </c>
      <c r="BM198" s="3" t="s">
        <v>79</v>
      </c>
      <c r="BN198" s="3" t="s">
        <v>79</v>
      </c>
      <c r="BO198" s="3" t="s">
        <v>202</v>
      </c>
      <c r="BP198" s="3" t="s">
        <v>79</v>
      </c>
      <c r="BQ198" s="3" t="s">
        <v>79</v>
      </c>
      <c r="BR198" s="3" t="s">
        <v>79</v>
      </c>
      <c r="BS198" s="3" t="s">
        <v>79</v>
      </c>
      <c r="BT198" s="3" t="s">
        <v>79</v>
      </c>
      <c r="BU198" s="3" t="s">
        <v>95</v>
      </c>
      <c r="BV198" s="3" t="s">
        <v>2865</v>
      </c>
      <c r="BW198" s="3" t="str">
        <f>HYPERLINK("https%3A%2F%2Fwww.webofscience.com%2Fwos%2Fwoscc%2Ffull-record%2FWOS:000920869100001","View Full Record in Web of Science")</f>
        <v>View Full Record in Web of Science</v>
      </c>
    </row>
    <row r="199" ht="12.75" customHeight="1">
      <c r="A199" s="13"/>
      <c r="B199" s="12"/>
      <c r="C199" s="13"/>
      <c r="D199" s="13" t="s">
        <v>77</v>
      </c>
      <c r="E199" s="3" t="s">
        <v>2866</v>
      </c>
      <c r="F199" s="3" t="s">
        <v>79</v>
      </c>
      <c r="G199" s="3" t="s">
        <v>79</v>
      </c>
      <c r="H199" s="3" t="s">
        <v>80</v>
      </c>
      <c r="I199" s="3" t="s">
        <v>2867</v>
      </c>
      <c r="J199" s="3" t="s">
        <v>79</v>
      </c>
      <c r="K199" s="3" t="s">
        <v>79</v>
      </c>
      <c r="L199" s="3" t="s">
        <v>2868</v>
      </c>
      <c r="M199" s="3" t="s">
        <v>2869</v>
      </c>
      <c r="N199" s="3" t="s">
        <v>79</v>
      </c>
      <c r="O199" s="3" t="s">
        <v>79</v>
      </c>
      <c r="P199" s="3" t="s">
        <v>79</v>
      </c>
      <c r="Q199" s="3" t="s">
        <v>84</v>
      </c>
      <c r="R199" s="3" t="s">
        <v>79</v>
      </c>
      <c r="S199" s="3" t="s">
        <v>79</v>
      </c>
      <c r="T199" s="3" t="s">
        <v>79</v>
      </c>
      <c r="U199" s="3" t="s">
        <v>79</v>
      </c>
      <c r="V199" s="3" t="s">
        <v>79</v>
      </c>
      <c r="W199" s="3" t="s">
        <v>2870</v>
      </c>
      <c r="X199" s="3" t="s">
        <v>79</v>
      </c>
      <c r="Y199" s="3" t="s">
        <v>2871</v>
      </c>
      <c r="Z199" s="3" t="s">
        <v>2872</v>
      </c>
      <c r="AA199" s="3" t="s">
        <v>79</v>
      </c>
      <c r="AB199" s="3" t="s">
        <v>2873</v>
      </c>
      <c r="AC199" s="3" t="s">
        <v>2874</v>
      </c>
      <c r="AD199" s="3" t="s">
        <v>2875</v>
      </c>
      <c r="AE199" s="3" t="s">
        <v>2876</v>
      </c>
      <c r="AF199" s="3" t="s">
        <v>79</v>
      </c>
      <c r="AG199" s="3" t="s">
        <v>79</v>
      </c>
      <c r="AH199" s="3" t="s">
        <v>79</v>
      </c>
      <c r="AI199" s="3" t="s">
        <v>79</v>
      </c>
      <c r="AJ199" s="3">
        <v>14.0</v>
      </c>
      <c r="AK199" s="3">
        <v>0.0</v>
      </c>
      <c r="AL199" s="3">
        <v>0.0</v>
      </c>
      <c r="AM199" s="3" t="s">
        <v>79</v>
      </c>
      <c r="AN199" s="3" t="s">
        <v>79</v>
      </c>
      <c r="AO199" s="3" t="s">
        <v>79</v>
      </c>
      <c r="AP199" s="3" t="s">
        <v>79</v>
      </c>
      <c r="AQ199" s="3" t="s">
        <v>79</v>
      </c>
      <c r="AR199" s="3" t="s">
        <v>79</v>
      </c>
      <c r="AS199" s="3" t="s">
        <v>79</v>
      </c>
      <c r="AT199" s="3" t="s">
        <v>79</v>
      </c>
      <c r="AU199" s="3" t="s">
        <v>79</v>
      </c>
      <c r="AV199" s="3" t="s">
        <v>79</v>
      </c>
      <c r="AW199" s="3" t="s">
        <v>79</v>
      </c>
      <c r="AX199" s="3">
        <v>2009.0</v>
      </c>
      <c r="AY199" s="3" t="s">
        <v>79</v>
      </c>
      <c r="AZ199" s="3" t="s">
        <v>79</v>
      </c>
      <c r="BA199" s="3" t="s">
        <v>79</v>
      </c>
      <c r="BB199" s="3" t="s">
        <v>79</v>
      </c>
      <c r="BC199" s="3" t="s">
        <v>79</v>
      </c>
      <c r="BD199" s="3" t="s">
        <v>79</v>
      </c>
      <c r="BE199" s="3">
        <v>2097.0</v>
      </c>
      <c r="BF199" s="3">
        <v>2100.0</v>
      </c>
      <c r="BG199" s="3" t="s">
        <v>79</v>
      </c>
      <c r="BH199" s="3" t="s">
        <v>79</v>
      </c>
      <c r="BI199" s="3" t="s">
        <v>79</v>
      </c>
      <c r="BJ199" s="3" t="s">
        <v>79</v>
      </c>
      <c r="BK199" s="3" t="s">
        <v>79</v>
      </c>
      <c r="BL199" s="3" t="s">
        <v>79</v>
      </c>
      <c r="BM199" s="3" t="s">
        <v>79</v>
      </c>
      <c r="BN199" s="3" t="s">
        <v>79</v>
      </c>
      <c r="BO199" s="3" t="s">
        <v>2477</v>
      </c>
      <c r="BP199" s="3" t="s">
        <v>79</v>
      </c>
      <c r="BQ199" s="3" t="s">
        <v>79</v>
      </c>
      <c r="BR199" s="3" t="s">
        <v>79</v>
      </c>
      <c r="BS199" s="3" t="s">
        <v>79</v>
      </c>
      <c r="BT199" s="3" t="s">
        <v>79</v>
      </c>
      <c r="BU199" s="3" t="s">
        <v>95</v>
      </c>
      <c r="BV199" s="3" t="s">
        <v>2877</v>
      </c>
      <c r="BW199" s="3" t="str">
        <f>HYPERLINK("https%3A%2F%2Fwww.webofscience.com%2Fwos%2Fwoscc%2Ffull-record%2FWOS:000273183201016","View Full Record in Web of Science")</f>
        <v>View Full Record in Web of Science</v>
      </c>
    </row>
    <row r="200" ht="12.75" customHeight="1">
      <c r="A200" s="13"/>
      <c r="B200" s="12"/>
      <c r="C200" s="13"/>
      <c r="D200" s="13" t="s">
        <v>185</v>
      </c>
      <c r="E200" s="3" t="s">
        <v>2878</v>
      </c>
      <c r="F200" s="3" t="s">
        <v>79</v>
      </c>
      <c r="G200" s="3" t="s">
        <v>79</v>
      </c>
      <c r="H200" s="3" t="s">
        <v>79</v>
      </c>
      <c r="I200" s="3" t="s">
        <v>2879</v>
      </c>
      <c r="J200" s="3" t="s">
        <v>79</v>
      </c>
      <c r="K200" s="3" t="s">
        <v>79</v>
      </c>
      <c r="L200" s="3" t="s">
        <v>2880</v>
      </c>
      <c r="M200" s="3" t="s">
        <v>2881</v>
      </c>
      <c r="N200" s="3" t="s">
        <v>79</v>
      </c>
      <c r="O200" s="3" t="s">
        <v>79</v>
      </c>
      <c r="P200" s="3" t="s">
        <v>79</v>
      </c>
      <c r="Q200" s="3" t="s">
        <v>190</v>
      </c>
      <c r="R200" s="3" t="s">
        <v>79</v>
      </c>
      <c r="S200" s="3" t="s">
        <v>79</v>
      </c>
      <c r="T200" s="3" t="s">
        <v>79</v>
      </c>
      <c r="U200" s="3" t="s">
        <v>79</v>
      </c>
      <c r="V200" s="3" t="s">
        <v>79</v>
      </c>
      <c r="W200" s="3" t="s">
        <v>2882</v>
      </c>
      <c r="X200" s="3" t="s">
        <v>79</v>
      </c>
      <c r="Y200" s="3" t="s">
        <v>2883</v>
      </c>
      <c r="Z200" s="3" t="s">
        <v>2884</v>
      </c>
      <c r="AA200" s="3" t="s">
        <v>2885</v>
      </c>
      <c r="AB200" s="3" t="s">
        <v>2886</v>
      </c>
      <c r="AC200" s="3" t="s">
        <v>2887</v>
      </c>
      <c r="AD200" s="3" t="s">
        <v>79</v>
      </c>
      <c r="AE200" s="3" t="s">
        <v>2888</v>
      </c>
      <c r="AF200" s="3" t="s">
        <v>79</v>
      </c>
      <c r="AG200" s="3" t="s">
        <v>79</v>
      </c>
      <c r="AH200" s="3" t="s">
        <v>79</v>
      </c>
      <c r="AI200" s="3" t="s">
        <v>79</v>
      </c>
      <c r="AJ200" s="3">
        <v>21.0</v>
      </c>
      <c r="AK200" s="3">
        <v>0.0</v>
      </c>
      <c r="AL200" s="3">
        <v>0.0</v>
      </c>
      <c r="AM200" s="3" t="s">
        <v>79</v>
      </c>
      <c r="AN200" s="3" t="s">
        <v>79</v>
      </c>
      <c r="AO200" s="3" t="s">
        <v>79</v>
      </c>
      <c r="AP200" s="3" t="s">
        <v>79</v>
      </c>
      <c r="AQ200" s="3" t="s">
        <v>79</v>
      </c>
      <c r="AR200" s="3" t="s">
        <v>79</v>
      </c>
      <c r="AS200" s="3" t="s">
        <v>79</v>
      </c>
      <c r="AT200" s="3" t="s">
        <v>79</v>
      </c>
      <c r="AU200" s="3" t="s">
        <v>79</v>
      </c>
      <c r="AV200" s="3" t="s">
        <v>79</v>
      </c>
      <c r="AW200" s="3" t="s">
        <v>1937</v>
      </c>
      <c r="AX200" s="3">
        <v>2025.0</v>
      </c>
      <c r="AY200" s="3">
        <v>37.0</v>
      </c>
      <c r="AZ200" s="3">
        <v>4.0</v>
      </c>
      <c r="BA200" s="3" t="s">
        <v>79</v>
      </c>
      <c r="BB200" s="3" t="s">
        <v>79</v>
      </c>
      <c r="BC200" s="3" t="s">
        <v>79</v>
      </c>
      <c r="BD200" s="3" t="s">
        <v>79</v>
      </c>
      <c r="BE200" s="3">
        <v>405.0</v>
      </c>
      <c r="BF200" s="3">
        <v>423.0</v>
      </c>
      <c r="BG200" s="3" t="s">
        <v>79</v>
      </c>
      <c r="BH200" s="3" t="s">
        <v>2889</v>
      </c>
      <c r="BI200" s="8" t="str">
        <f>HYPERLINK("http://dx.doi.org/10.1177/10554181251340662","http://dx.doi.org/10.1177/10554181251340662")</f>
        <v>http://dx.doi.org/10.1177/10554181251340662</v>
      </c>
      <c r="BJ200" s="3" t="s">
        <v>79</v>
      </c>
      <c r="BK200" s="3" t="s">
        <v>2890</v>
      </c>
      <c r="BL200" s="3" t="s">
        <v>79</v>
      </c>
      <c r="BM200" s="3" t="s">
        <v>79</v>
      </c>
      <c r="BN200" s="3" t="s">
        <v>79</v>
      </c>
      <c r="BO200" s="3" t="s">
        <v>1637</v>
      </c>
      <c r="BP200" s="3" t="s">
        <v>79</v>
      </c>
      <c r="BQ200" s="3" t="s">
        <v>79</v>
      </c>
      <c r="BR200" s="3" t="s">
        <v>79</v>
      </c>
      <c r="BS200" s="3" t="s">
        <v>79</v>
      </c>
      <c r="BT200" s="3" t="s">
        <v>79</v>
      </c>
      <c r="BU200" s="3" t="s">
        <v>95</v>
      </c>
      <c r="BV200" s="3" t="s">
        <v>2891</v>
      </c>
      <c r="BW200" s="3" t="str">
        <f>HYPERLINK("https%3A%2F%2Fwww.webofscience.com%2Fwos%2Fwoscc%2Ffull-record%2FWOS:001489218600001","View Full Record in Web of Science")</f>
        <v>View Full Record in Web of Science</v>
      </c>
    </row>
    <row r="201" ht="12.75" customHeight="1">
      <c r="A201" s="13"/>
      <c r="B201" s="12"/>
      <c r="C201" s="13"/>
      <c r="D201" s="13" t="s">
        <v>185</v>
      </c>
      <c r="E201" s="3" t="s">
        <v>2892</v>
      </c>
      <c r="F201" s="3" t="s">
        <v>79</v>
      </c>
      <c r="G201" s="3" t="s">
        <v>79</v>
      </c>
      <c r="H201" s="3" t="s">
        <v>79</v>
      </c>
      <c r="I201" s="3" t="s">
        <v>2893</v>
      </c>
      <c r="J201" s="3" t="s">
        <v>79</v>
      </c>
      <c r="K201" s="3" t="s">
        <v>79</v>
      </c>
      <c r="L201" s="3" t="s">
        <v>2894</v>
      </c>
      <c r="M201" s="3" t="s">
        <v>822</v>
      </c>
      <c r="N201" s="3" t="s">
        <v>79</v>
      </c>
      <c r="O201" s="3" t="s">
        <v>79</v>
      </c>
      <c r="P201" s="3" t="s">
        <v>79</v>
      </c>
      <c r="Q201" s="3" t="s">
        <v>2211</v>
      </c>
      <c r="R201" s="3" t="s">
        <v>79</v>
      </c>
      <c r="S201" s="3" t="s">
        <v>79</v>
      </c>
      <c r="T201" s="3" t="s">
        <v>79</v>
      </c>
      <c r="U201" s="3" t="s">
        <v>79</v>
      </c>
      <c r="V201" s="3" t="s">
        <v>79</v>
      </c>
      <c r="W201" s="3" t="s">
        <v>79</v>
      </c>
      <c r="X201" s="3" t="s">
        <v>2895</v>
      </c>
      <c r="Y201" s="3" t="s">
        <v>2896</v>
      </c>
      <c r="Z201" s="3" t="s">
        <v>2897</v>
      </c>
      <c r="AA201" s="3" t="s">
        <v>2898</v>
      </c>
      <c r="AB201" s="3" t="s">
        <v>2899</v>
      </c>
      <c r="AC201" s="3" t="s">
        <v>2900</v>
      </c>
      <c r="AD201" s="3" t="s">
        <v>2901</v>
      </c>
      <c r="AE201" s="3" t="s">
        <v>2902</v>
      </c>
      <c r="AF201" s="3" t="s">
        <v>79</v>
      </c>
      <c r="AG201" s="3" t="s">
        <v>79</v>
      </c>
      <c r="AH201" s="3" t="s">
        <v>79</v>
      </c>
      <c r="AI201" s="3" t="s">
        <v>79</v>
      </c>
      <c r="AJ201" s="3">
        <v>37.0</v>
      </c>
      <c r="AK201" s="3">
        <v>118.0</v>
      </c>
      <c r="AL201" s="3">
        <v>131.0</v>
      </c>
      <c r="AM201" s="3" t="s">
        <v>79</v>
      </c>
      <c r="AN201" s="3" t="s">
        <v>79</v>
      </c>
      <c r="AO201" s="3" t="s">
        <v>79</v>
      </c>
      <c r="AP201" s="3" t="s">
        <v>79</v>
      </c>
      <c r="AQ201" s="3" t="s">
        <v>79</v>
      </c>
      <c r="AR201" s="3" t="s">
        <v>79</v>
      </c>
      <c r="AS201" s="3" t="s">
        <v>79</v>
      </c>
      <c r="AT201" s="3" t="s">
        <v>79</v>
      </c>
      <c r="AU201" s="3" t="s">
        <v>79</v>
      </c>
      <c r="AV201" s="3" t="s">
        <v>79</v>
      </c>
      <c r="AW201" s="3" t="s">
        <v>1147</v>
      </c>
      <c r="AX201" s="3">
        <v>2011.0</v>
      </c>
      <c r="AY201" s="3">
        <v>8.0</v>
      </c>
      <c r="AZ201" s="3">
        <v>2.0</v>
      </c>
      <c r="BA201" s="3" t="s">
        <v>79</v>
      </c>
      <c r="BB201" s="3" t="s">
        <v>79</v>
      </c>
      <c r="BC201" s="3" t="s">
        <v>291</v>
      </c>
      <c r="BD201" s="3" t="s">
        <v>79</v>
      </c>
      <c r="BE201" s="3" t="s">
        <v>79</v>
      </c>
      <c r="BF201" s="3" t="s">
        <v>79</v>
      </c>
      <c r="BG201" s="3">
        <v>25020.0</v>
      </c>
      <c r="BH201" s="3" t="s">
        <v>2903</v>
      </c>
      <c r="BI201" s="8" t="str">
        <f>HYPERLINK("http://dx.doi.org/10.1088/1741-2560/8/2/025020","http://dx.doi.org/10.1088/1741-2560/8/2/025020")</f>
        <v>http://dx.doi.org/10.1088/1741-2560/8/2/025020</v>
      </c>
      <c r="BJ201" s="3" t="s">
        <v>79</v>
      </c>
      <c r="BK201" s="3" t="s">
        <v>79</v>
      </c>
      <c r="BL201" s="3" t="s">
        <v>79</v>
      </c>
      <c r="BM201" s="3" t="s">
        <v>79</v>
      </c>
      <c r="BN201" s="3" t="s">
        <v>79</v>
      </c>
      <c r="BO201" s="3" t="s">
        <v>559</v>
      </c>
      <c r="BP201" s="3" t="s">
        <v>79</v>
      </c>
      <c r="BQ201" s="3" t="s">
        <v>79</v>
      </c>
      <c r="BR201" s="3" t="s">
        <v>79</v>
      </c>
      <c r="BS201" s="3" t="s">
        <v>79</v>
      </c>
      <c r="BT201" s="3" t="s">
        <v>79</v>
      </c>
      <c r="BU201" s="3" t="s">
        <v>95</v>
      </c>
      <c r="BV201" s="3" t="s">
        <v>2904</v>
      </c>
      <c r="BW201" s="3" t="str">
        <f>HYPERLINK("https%3A%2F%2Fwww.webofscience.com%2Fwos%2Fwoscc%2Ffull-record%2FWOS:000289199000021","View Full Record in Web of Science")</f>
        <v>View Full Record in Web of Science</v>
      </c>
    </row>
    <row r="202" ht="12.75" customHeight="1">
      <c r="A202" s="13"/>
      <c r="B202" s="12"/>
      <c r="C202" s="13"/>
      <c r="D202" s="13" t="s">
        <v>185</v>
      </c>
      <c r="E202" s="3" t="s">
        <v>2905</v>
      </c>
      <c r="F202" s="3" t="s">
        <v>79</v>
      </c>
      <c r="G202" s="3" t="s">
        <v>79</v>
      </c>
      <c r="H202" s="3" t="s">
        <v>79</v>
      </c>
      <c r="I202" s="3" t="s">
        <v>2906</v>
      </c>
      <c r="J202" s="3" t="s">
        <v>79</v>
      </c>
      <c r="K202" s="3" t="s">
        <v>79</v>
      </c>
      <c r="L202" s="3" t="s">
        <v>2907</v>
      </c>
      <c r="M202" s="3" t="s">
        <v>1166</v>
      </c>
      <c r="N202" s="3" t="s">
        <v>79</v>
      </c>
      <c r="O202" s="3" t="s">
        <v>79</v>
      </c>
      <c r="P202" s="3" t="s">
        <v>79</v>
      </c>
      <c r="Q202" s="3" t="s">
        <v>190</v>
      </c>
      <c r="R202" s="3" t="s">
        <v>79</v>
      </c>
      <c r="S202" s="3" t="s">
        <v>79</v>
      </c>
      <c r="T202" s="3" t="s">
        <v>79</v>
      </c>
      <c r="U202" s="3" t="s">
        <v>79</v>
      </c>
      <c r="V202" s="3" t="s">
        <v>79</v>
      </c>
      <c r="W202" s="3" t="s">
        <v>2908</v>
      </c>
      <c r="X202" s="3" t="s">
        <v>2909</v>
      </c>
      <c r="Y202" s="3" t="s">
        <v>2910</v>
      </c>
      <c r="Z202" s="3" t="s">
        <v>2911</v>
      </c>
      <c r="AA202" s="3" t="s">
        <v>1072</v>
      </c>
      <c r="AB202" s="3" t="s">
        <v>2912</v>
      </c>
      <c r="AC202" s="3" t="s">
        <v>2913</v>
      </c>
      <c r="AD202" s="3" t="s">
        <v>79</v>
      </c>
      <c r="AE202" s="3" t="s">
        <v>2914</v>
      </c>
      <c r="AF202" s="3" t="s">
        <v>79</v>
      </c>
      <c r="AG202" s="3" t="s">
        <v>79</v>
      </c>
      <c r="AH202" s="3" t="s">
        <v>79</v>
      </c>
      <c r="AI202" s="3" t="s">
        <v>79</v>
      </c>
      <c r="AJ202" s="3">
        <v>74.0</v>
      </c>
      <c r="AK202" s="3">
        <v>11.0</v>
      </c>
      <c r="AL202" s="3">
        <v>11.0</v>
      </c>
      <c r="AM202" s="3" t="s">
        <v>79</v>
      </c>
      <c r="AN202" s="3" t="s">
        <v>79</v>
      </c>
      <c r="AO202" s="3" t="s">
        <v>79</v>
      </c>
      <c r="AP202" s="3" t="s">
        <v>79</v>
      </c>
      <c r="AQ202" s="3" t="s">
        <v>79</v>
      </c>
      <c r="AR202" s="3" t="s">
        <v>79</v>
      </c>
      <c r="AS202" s="3" t="s">
        <v>79</v>
      </c>
      <c r="AT202" s="3" t="s">
        <v>79</v>
      </c>
      <c r="AU202" s="3" t="s">
        <v>79</v>
      </c>
      <c r="AV202" s="3" t="s">
        <v>79</v>
      </c>
      <c r="AW202" s="3" t="s">
        <v>2915</v>
      </c>
      <c r="AX202" s="3">
        <v>2023.0</v>
      </c>
      <c r="AY202" s="3">
        <v>17.0</v>
      </c>
      <c r="AZ202" s="3" t="s">
        <v>79</v>
      </c>
      <c r="BA202" s="3" t="s">
        <v>79</v>
      </c>
      <c r="BB202" s="3" t="s">
        <v>79</v>
      </c>
      <c r="BC202" s="3" t="s">
        <v>79</v>
      </c>
      <c r="BD202" s="3" t="s">
        <v>79</v>
      </c>
      <c r="BE202" s="3" t="s">
        <v>79</v>
      </c>
      <c r="BF202" s="3" t="s">
        <v>79</v>
      </c>
      <c r="BG202" s="3">
        <v>1205881.0</v>
      </c>
      <c r="BH202" s="3" t="s">
        <v>2916</v>
      </c>
      <c r="BI202" s="8" t="str">
        <f>HYPERLINK("http://dx.doi.org/10.3389/fnhum.2023.1205881","http://dx.doi.org/10.3389/fnhum.2023.1205881")</f>
        <v>http://dx.doi.org/10.3389/fnhum.2023.1205881</v>
      </c>
      <c r="BJ202" s="3" t="s">
        <v>79</v>
      </c>
      <c r="BK202" s="3" t="s">
        <v>79</v>
      </c>
      <c r="BL202" s="3" t="s">
        <v>79</v>
      </c>
      <c r="BM202" s="3" t="s">
        <v>79</v>
      </c>
      <c r="BN202" s="3" t="s">
        <v>79</v>
      </c>
      <c r="BO202" s="3" t="s">
        <v>1178</v>
      </c>
      <c r="BP202" s="3" t="s">
        <v>79</v>
      </c>
      <c r="BQ202" s="3" t="s">
        <v>79</v>
      </c>
      <c r="BR202" s="3" t="s">
        <v>79</v>
      </c>
      <c r="BS202" s="3" t="s">
        <v>79</v>
      </c>
      <c r="BT202" s="3" t="s">
        <v>79</v>
      </c>
      <c r="BU202" s="3" t="s">
        <v>95</v>
      </c>
      <c r="BV202" s="3" t="s">
        <v>2917</v>
      </c>
      <c r="BW202" s="3" t="str">
        <f>HYPERLINK("https%3A%2F%2Fwww.webofscience.com%2Fwos%2Fwoscc%2Ffull-record%2FWOS:001010090300001","View Full Record in Web of Science")</f>
        <v>View Full Record in Web of Science</v>
      </c>
    </row>
    <row r="203" ht="12.75" customHeight="1">
      <c r="B203" s="10"/>
    </row>
    <row r="204" ht="12.75" customHeight="1">
      <c r="B204" s="10"/>
    </row>
    <row r="205" ht="12.75" customHeight="1">
      <c r="B205" s="10"/>
    </row>
    <row r="206" ht="12.75" customHeight="1">
      <c r="B206" s="10"/>
    </row>
    <row r="207" ht="12.75" customHeight="1">
      <c r="B207" s="10"/>
    </row>
    <row r="208" ht="12.75" customHeight="1">
      <c r="B208" s="10"/>
    </row>
    <row r="209" ht="12.75" customHeight="1">
      <c r="B209" s="10"/>
    </row>
    <row r="210" ht="12.75" customHeight="1">
      <c r="B210" s="10"/>
    </row>
    <row r="211" ht="12.75" customHeight="1">
      <c r="B211" s="10"/>
    </row>
    <row r="212" ht="12.75" customHeight="1">
      <c r="B212" s="10"/>
    </row>
    <row r="213" ht="12.75" customHeight="1">
      <c r="B213" s="10"/>
    </row>
    <row r="214" ht="12.75" customHeight="1">
      <c r="B214" s="10"/>
    </row>
    <row r="215" ht="12.75" customHeight="1">
      <c r="B215" s="10"/>
    </row>
    <row r="216" ht="12.75" customHeight="1">
      <c r="B216" s="10"/>
    </row>
    <row r="217" ht="12.75" customHeight="1">
      <c r="B217" s="10"/>
    </row>
    <row r="218" ht="12.75" customHeight="1">
      <c r="B218" s="10"/>
    </row>
    <row r="219" ht="12.75" customHeight="1">
      <c r="B219" s="10"/>
    </row>
    <row r="220" ht="12.75" customHeight="1">
      <c r="B220" s="10"/>
    </row>
    <row r="221" ht="12.75" customHeight="1">
      <c r="B221" s="10"/>
    </row>
    <row r="222" ht="12.75" customHeight="1">
      <c r="B222" s="10"/>
    </row>
    <row r="223" ht="12.75" customHeight="1">
      <c r="B223" s="10"/>
    </row>
    <row r="224" ht="12.75" customHeight="1">
      <c r="B224" s="10"/>
    </row>
    <row r="225" ht="12.75" customHeight="1">
      <c r="B225" s="10"/>
    </row>
    <row r="226" ht="12.75" customHeight="1">
      <c r="B226" s="10"/>
    </row>
    <row r="227" ht="12.75" customHeight="1">
      <c r="B227" s="10"/>
    </row>
    <row r="228" ht="12.75" customHeight="1">
      <c r="B228" s="10"/>
    </row>
    <row r="229" ht="12.75" customHeight="1">
      <c r="B229" s="10"/>
    </row>
    <row r="230" ht="12.75" customHeight="1">
      <c r="B230" s="10"/>
    </row>
    <row r="231" ht="12.75" customHeight="1">
      <c r="B231" s="10"/>
    </row>
    <row r="232" ht="12.75" customHeight="1">
      <c r="B232" s="10"/>
    </row>
    <row r="233" ht="12.75" customHeight="1">
      <c r="B233" s="10"/>
    </row>
    <row r="234" ht="12.75" customHeight="1">
      <c r="B234" s="10"/>
    </row>
    <row r="235" ht="12.75" customHeight="1">
      <c r="B235" s="10"/>
    </row>
    <row r="236" ht="12.75" customHeight="1">
      <c r="B236" s="10"/>
    </row>
    <row r="237" ht="12.75" customHeight="1">
      <c r="B237" s="10"/>
    </row>
    <row r="238" ht="12.75" customHeight="1">
      <c r="B238" s="10"/>
    </row>
    <row r="239" ht="12.75" customHeight="1">
      <c r="B239" s="10"/>
    </row>
    <row r="240" ht="12.75" customHeight="1">
      <c r="B240" s="10"/>
    </row>
    <row r="241" ht="12.75" customHeight="1">
      <c r="B241" s="10"/>
    </row>
    <row r="242" ht="12.75" customHeight="1">
      <c r="B242" s="10"/>
    </row>
    <row r="243" ht="12.75" customHeight="1">
      <c r="B243" s="10"/>
    </row>
    <row r="244" ht="12.75" customHeight="1">
      <c r="B244" s="10"/>
    </row>
    <row r="245" ht="12.75" customHeight="1">
      <c r="B245" s="10"/>
    </row>
    <row r="246" ht="12.75" customHeight="1">
      <c r="B246" s="10"/>
    </row>
    <row r="247" ht="12.75" customHeight="1">
      <c r="B247" s="10"/>
    </row>
    <row r="248" ht="12.75" customHeight="1">
      <c r="B248" s="10"/>
    </row>
    <row r="249" ht="12.75" customHeight="1">
      <c r="B249" s="10"/>
    </row>
    <row r="250" ht="12.75" customHeight="1">
      <c r="B250" s="10"/>
    </row>
    <row r="251" ht="12.75" customHeight="1">
      <c r="B251" s="10"/>
    </row>
    <row r="252" ht="12.75" customHeight="1">
      <c r="B252" s="10"/>
    </row>
    <row r="253" ht="12.75" customHeight="1">
      <c r="B253" s="10"/>
    </row>
    <row r="254" ht="12.75" customHeight="1">
      <c r="B254" s="10"/>
    </row>
    <row r="255" ht="12.75" customHeight="1">
      <c r="B255" s="10"/>
    </row>
    <row r="256" ht="12.75" customHeight="1">
      <c r="B256" s="10"/>
    </row>
    <row r="257" ht="12.75" customHeight="1">
      <c r="B257" s="10"/>
    </row>
    <row r="258" ht="12.75" customHeight="1">
      <c r="B258" s="10"/>
    </row>
    <row r="259" ht="12.75" customHeight="1">
      <c r="B259" s="10"/>
    </row>
    <row r="260" ht="12.75" customHeight="1">
      <c r="B260" s="10"/>
    </row>
    <row r="261" ht="12.75" customHeight="1">
      <c r="B261" s="10"/>
    </row>
    <row r="262" ht="12.75" customHeight="1">
      <c r="B262" s="10"/>
    </row>
    <row r="263" ht="12.75" customHeight="1">
      <c r="B263" s="10"/>
    </row>
    <row r="264" ht="12.75" customHeight="1">
      <c r="B264" s="10"/>
    </row>
    <row r="265" ht="12.75" customHeight="1">
      <c r="B265" s="10"/>
    </row>
    <row r="266" ht="12.75" customHeight="1">
      <c r="B266" s="10"/>
    </row>
    <row r="267" ht="12.75" customHeight="1">
      <c r="B267" s="10"/>
    </row>
    <row r="268" ht="12.75" customHeight="1">
      <c r="B268" s="10"/>
    </row>
    <row r="269" ht="12.75" customHeight="1">
      <c r="B269" s="10"/>
    </row>
    <row r="270" ht="12.75" customHeight="1">
      <c r="B270" s="10"/>
    </row>
    <row r="271" ht="12.75" customHeight="1">
      <c r="B271" s="10"/>
    </row>
    <row r="272" ht="12.75" customHeight="1">
      <c r="B272" s="10"/>
    </row>
    <row r="273" ht="12.75" customHeight="1">
      <c r="B273" s="10"/>
    </row>
    <row r="274" ht="12.75" customHeight="1">
      <c r="B274" s="10"/>
    </row>
    <row r="275" ht="12.75" customHeight="1">
      <c r="B275" s="10"/>
    </row>
    <row r="276" ht="12.75" customHeight="1">
      <c r="B276" s="10"/>
    </row>
    <row r="277" ht="12.75" customHeight="1">
      <c r="B277" s="10"/>
    </row>
    <row r="278" ht="12.75" customHeight="1">
      <c r="B278" s="10"/>
    </row>
    <row r="279" ht="12.75" customHeight="1">
      <c r="B279" s="10"/>
    </row>
    <row r="280" ht="12.75" customHeight="1">
      <c r="B280" s="10"/>
    </row>
    <row r="281" ht="12.75" customHeight="1">
      <c r="B281" s="10"/>
    </row>
    <row r="282" ht="12.75" customHeight="1">
      <c r="B282" s="10"/>
    </row>
    <row r="283" ht="12.75" customHeight="1">
      <c r="B283" s="10"/>
    </row>
    <row r="284" ht="12.75" customHeight="1">
      <c r="B284" s="10"/>
    </row>
    <row r="285" ht="12.75" customHeight="1">
      <c r="B285" s="10"/>
    </row>
    <row r="286" ht="12.75" customHeight="1">
      <c r="B286" s="10"/>
    </row>
    <row r="287" ht="12.75" customHeight="1">
      <c r="B287" s="10"/>
    </row>
    <row r="288" ht="12.75" customHeight="1">
      <c r="B288" s="10"/>
    </row>
    <row r="289" ht="12.75" customHeight="1">
      <c r="B289" s="10"/>
    </row>
    <row r="290" ht="12.75" customHeight="1">
      <c r="B290" s="10"/>
    </row>
    <row r="291" ht="12.75" customHeight="1">
      <c r="B291" s="10"/>
    </row>
    <row r="292" ht="12.75" customHeight="1">
      <c r="B292" s="10"/>
    </row>
    <row r="293" ht="12.75" customHeight="1">
      <c r="B293" s="10"/>
    </row>
    <row r="294" ht="12.75" customHeight="1">
      <c r="B294" s="10"/>
    </row>
    <row r="295" ht="12.75" customHeight="1">
      <c r="B295" s="10"/>
    </row>
    <row r="296" ht="12.75" customHeight="1">
      <c r="B296" s="10"/>
    </row>
    <row r="297" ht="12.75" customHeight="1">
      <c r="B297" s="10"/>
    </row>
    <row r="298" ht="12.75" customHeight="1">
      <c r="B298" s="10"/>
    </row>
    <row r="299" ht="12.75" customHeight="1">
      <c r="B299" s="10"/>
    </row>
    <row r="300" ht="12.75" customHeight="1">
      <c r="B300" s="10"/>
    </row>
    <row r="301" ht="12.75" customHeight="1">
      <c r="B301" s="10"/>
    </row>
    <row r="302" ht="12.75" customHeight="1">
      <c r="B302" s="10"/>
    </row>
    <row r="303" ht="12.75" customHeight="1">
      <c r="B303" s="10"/>
    </row>
    <row r="304" ht="12.75" customHeight="1">
      <c r="B304" s="10"/>
    </row>
    <row r="305" ht="12.75" customHeight="1">
      <c r="B305" s="10"/>
    </row>
    <row r="306" ht="12.75" customHeight="1">
      <c r="B306" s="10"/>
    </row>
    <row r="307" ht="12.75" customHeight="1">
      <c r="B307" s="10"/>
    </row>
    <row r="308" ht="12.75" customHeight="1">
      <c r="B308" s="10"/>
    </row>
    <row r="309" ht="12.75" customHeight="1">
      <c r="B309" s="10"/>
    </row>
    <row r="310" ht="12.75" customHeight="1">
      <c r="B310" s="10"/>
    </row>
    <row r="311" ht="12.75" customHeight="1">
      <c r="B311" s="10"/>
    </row>
    <row r="312" ht="12.75" customHeight="1">
      <c r="B312" s="10"/>
    </row>
    <row r="313" ht="12.75" customHeight="1">
      <c r="B313" s="10"/>
    </row>
    <row r="314" ht="12.75" customHeight="1">
      <c r="B314" s="10"/>
    </row>
    <row r="315" ht="12.75" customHeight="1">
      <c r="B315" s="10"/>
    </row>
    <row r="316" ht="12.75" customHeight="1">
      <c r="B316" s="10"/>
    </row>
    <row r="317" ht="12.75" customHeight="1">
      <c r="B317" s="10"/>
    </row>
    <row r="318" ht="12.75" customHeight="1">
      <c r="B318" s="10"/>
    </row>
    <row r="319" ht="12.75" customHeight="1">
      <c r="B319" s="10"/>
    </row>
    <row r="320" ht="12.75" customHeight="1">
      <c r="B320" s="10"/>
    </row>
    <row r="321" ht="12.75" customHeight="1">
      <c r="B321" s="10"/>
    </row>
    <row r="322" ht="12.75" customHeight="1">
      <c r="B322" s="10"/>
    </row>
    <row r="323" ht="12.75" customHeight="1">
      <c r="B323" s="10"/>
    </row>
    <row r="324" ht="12.75" customHeight="1">
      <c r="B324" s="10"/>
    </row>
    <row r="325" ht="12.75" customHeight="1">
      <c r="B325" s="10"/>
    </row>
    <row r="326" ht="12.75" customHeight="1">
      <c r="B326" s="10"/>
    </row>
    <row r="327" ht="12.75" customHeight="1">
      <c r="B327" s="10"/>
    </row>
    <row r="328" ht="12.75" customHeight="1">
      <c r="B328" s="10"/>
    </row>
    <row r="329" ht="12.75" customHeight="1">
      <c r="B329" s="10"/>
    </row>
    <row r="330" ht="12.75" customHeight="1">
      <c r="B330" s="10"/>
    </row>
    <row r="331" ht="12.75" customHeight="1">
      <c r="B331" s="10"/>
    </row>
    <row r="332" ht="12.75" customHeight="1">
      <c r="B332" s="10"/>
    </row>
    <row r="333" ht="12.75" customHeight="1">
      <c r="B333" s="10"/>
    </row>
    <row r="334" ht="12.75" customHeight="1">
      <c r="B334" s="10"/>
    </row>
    <row r="335" ht="12.75" customHeight="1">
      <c r="B335" s="10"/>
    </row>
    <row r="336" ht="12.75" customHeight="1">
      <c r="B336" s="10"/>
    </row>
    <row r="337" ht="12.75" customHeight="1">
      <c r="B337" s="10"/>
    </row>
    <row r="338" ht="12.75" customHeight="1">
      <c r="B338" s="10"/>
    </row>
    <row r="339" ht="12.75" customHeight="1">
      <c r="B339" s="10"/>
    </row>
    <row r="340" ht="12.75" customHeight="1">
      <c r="B340" s="10"/>
    </row>
    <row r="341" ht="12.75" customHeight="1">
      <c r="B341" s="10"/>
    </row>
    <row r="342" ht="12.75" customHeight="1">
      <c r="B342" s="10"/>
    </row>
    <row r="343" ht="12.75" customHeight="1">
      <c r="B343" s="10"/>
    </row>
    <row r="344" ht="12.75" customHeight="1">
      <c r="B344" s="10"/>
    </row>
    <row r="345" ht="12.75" customHeight="1">
      <c r="B345" s="10"/>
    </row>
    <row r="346" ht="12.75" customHeight="1">
      <c r="B346" s="10"/>
    </row>
    <row r="347" ht="12.75" customHeight="1">
      <c r="B347" s="10"/>
    </row>
    <row r="348" ht="12.75" customHeight="1">
      <c r="B348" s="10"/>
    </row>
    <row r="349" ht="12.75" customHeight="1">
      <c r="B349" s="10"/>
    </row>
    <row r="350" ht="12.75" customHeight="1">
      <c r="B350" s="10"/>
    </row>
    <row r="351" ht="12.75" customHeight="1">
      <c r="B351" s="10"/>
    </row>
    <row r="352" ht="12.75" customHeight="1">
      <c r="B352" s="10"/>
    </row>
    <row r="353" ht="12.75" customHeight="1">
      <c r="B353" s="10"/>
    </row>
    <row r="354" ht="12.75" customHeight="1">
      <c r="B354" s="10"/>
    </row>
    <row r="355" ht="12.75" customHeight="1">
      <c r="B355" s="10"/>
    </row>
    <row r="356" ht="12.75" customHeight="1">
      <c r="B356" s="10"/>
    </row>
    <row r="357" ht="12.75" customHeight="1">
      <c r="B357" s="10"/>
    </row>
    <row r="358" ht="12.75" customHeight="1">
      <c r="B358" s="10"/>
    </row>
    <row r="359" ht="12.75" customHeight="1">
      <c r="B359" s="10"/>
    </row>
    <row r="360" ht="12.75" customHeight="1">
      <c r="B360" s="10"/>
    </row>
    <row r="361" ht="12.75" customHeight="1">
      <c r="B361" s="10"/>
    </row>
    <row r="362" ht="12.75" customHeight="1">
      <c r="B362" s="10"/>
    </row>
    <row r="363" ht="12.75" customHeight="1">
      <c r="B363" s="10"/>
    </row>
    <row r="364" ht="12.75" customHeight="1">
      <c r="B364" s="10"/>
    </row>
    <row r="365" ht="12.75" customHeight="1">
      <c r="B365" s="10"/>
    </row>
    <row r="366" ht="12.75" customHeight="1">
      <c r="B366" s="10"/>
    </row>
    <row r="367" ht="12.75" customHeight="1">
      <c r="B367" s="10"/>
    </row>
    <row r="368" ht="12.75" customHeight="1">
      <c r="B368" s="10"/>
    </row>
    <row r="369" ht="12.75" customHeight="1">
      <c r="B369" s="10"/>
    </row>
    <row r="370" ht="12.75" customHeight="1">
      <c r="B370" s="10"/>
    </row>
    <row r="371" ht="12.75" customHeight="1">
      <c r="B371" s="10"/>
    </row>
    <row r="372" ht="12.75" customHeight="1">
      <c r="B372" s="10"/>
    </row>
    <row r="373" ht="12.75" customHeight="1">
      <c r="B373" s="10"/>
    </row>
    <row r="374" ht="12.75" customHeight="1">
      <c r="B374" s="10"/>
    </row>
    <row r="375" ht="12.75" customHeight="1">
      <c r="B375" s="10"/>
    </row>
    <row r="376" ht="12.75" customHeight="1">
      <c r="B376" s="10"/>
    </row>
    <row r="377" ht="12.75" customHeight="1">
      <c r="B377" s="10"/>
    </row>
    <row r="378" ht="12.75" customHeight="1">
      <c r="B378" s="10"/>
    </row>
    <row r="379" ht="12.75" customHeight="1">
      <c r="B379" s="10"/>
    </row>
    <row r="380" ht="12.75" customHeight="1">
      <c r="B380" s="10"/>
    </row>
    <row r="381" ht="12.75" customHeight="1">
      <c r="B381" s="10"/>
    </row>
    <row r="382" ht="12.75" customHeight="1">
      <c r="B382" s="10"/>
    </row>
    <row r="383" ht="12.75" customHeight="1">
      <c r="B383" s="10"/>
    </row>
    <row r="384" ht="12.75" customHeight="1">
      <c r="B384" s="10"/>
    </row>
    <row r="385" ht="12.75" customHeight="1">
      <c r="B385" s="10"/>
    </row>
    <row r="386" ht="12.75" customHeight="1">
      <c r="B386" s="10"/>
    </row>
    <row r="387" ht="12.75" customHeight="1">
      <c r="B387" s="10"/>
    </row>
    <row r="388" ht="12.75" customHeight="1">
      <c r="B388" s="10"/>
    </row>
    <row r="389" ht="12.75" customHeight="1">
      <c r="B389" s="10"/>
    </row>
    <row r="390" ht="12.75" customHeight="1">
      <c r="B390" s="10"/>
    </row>
    <row r="391" ht="12.75" customHeight="1">
      <c r="B391" s="10"/>
    </row>
    <row r="392" ht="12.75" customHeight="1">
      <c r="B392" s="10"/>
    </row>
    <row r="393" ht="12.75" customHeight="1">
      <c r="B393" s="10"/>
    </row>
    <row r="394" ht="12.75" customHeight="1">
      <c r="B394" s="10"/>
    </row>
    <row r="395" ht="12.75" customHeight="1">
      <c r="B395" s="10"/>
    </row>
    <row r="396" ht="12.75" customHeight="1">
      <c r="B396" s="10"/>
    </row>
    <row r="397" ht="12.75" customHeight="1">
      <c r="B397" s="10"/>
    </row>
    <row r="398" ht="12.75" customHeight="1">
      <c r="B398" s="10"/>
    </row>
    <row r="399" ht="12.75" customHeight="1">
      <c r="B399" s="10"/>
    </row>
    <row r="400" ht="12.75" customHeight="1">
      <c r="B400" s="10"/>
    </row>
    <row r="401" ht="12.75" customHeight="1">
      <c r="B401" s="10"/>
    </row>
    <row r="402" ht="12.75" customHeight="1">
      <c r="B402" s="10"/>
    </row>
    <row r="403" ht="12.75" customHeight="1">
      <c r="B403" s="10"/>
    </row>
    <row r="404" ht="12.75" customHeight="1">
      <c r="B404" s="10"/>
    </row>
    <row r="405" ht="12.75" customHeight="1">
      <c r="B405" s="10"/>
    </row>
    <row r="406" ht="12.75" customHeight="1">
      <c r="B406" s="10"/>
    </row>
    <row r="407" ht="12.75" customHeight="1">
      <c r="B407" s="10"/>
    </row>
    <row r="408" ht="12.75" customHeight="1">
      <c r="B408" s="10"/>
    </row>
    <row r="409" ht="12.75" customHeight="1">
      <c r="B409" s="10"/>
    </row>
    <row r="410" ht="12.75" customHeight="1">
      <c r="B410" s="10"/>
    </row>
    <row r="411" ht="12.75" customHeight="1">
      <c r="B411" s="10"/>
    </row>
    <row r="412" ht="12.75" customHeight="1">
      <c r="B412" s="10"/>
    </row>
    <row r="413" ht="12.75" customHeight="1">
      <c r="B413" s="10"/>
    </row>
    <row r="414" ht="12.75" customHeight="1">
      <c r="B414" s="10"/>
    </row>
    <row r="415" ht="12.75" customHeight="1">
      <c r="B415" s="10"/>
    </row>
    <row r="416" ht="12.75" customHeight="1">
      <c r="B416" s="10"/>
    </row>
    <row r="417" ht="12.75" customHeight="1">
      <c r="B417" s="10"/>
    </row>
    <row r="418" ht="12.75" customHeight="1">
      <c r="B418" s="10"/>
    </row>
    <row r="419" ht="12.75" customHeight="1">
      <c r="B419" s="10"/>
    </row>
    <row r="420" ht="12.75" customHeight="1">
      <c r="B420" s="10"/>
    </row>
    <row r="421" ht="12.75" customHeight="1">
      <c r="B421" s="10"/>
    </row>
    <row r="422" ht="12.75" customHeight="1">
      <c r="B422" s="10"/>
    </row>
    <row r="423" ht="12.75" customHeight="1">
      <c r="B423" s="10"/>
    </row>
    <row r="424" ht="12.75" customHeight="1">
      <c r="B424" s="10"/>
    </row>
    <row r="425" ht="12.75" customHeight="1">
      <c r="B425" s="10"/>
    </row>
    <row r="426" ht="12.75" customHeight="1">
      <c r="B426" s="10"/>
    </row>
    <row r="427" ht="12.75" customHeight="1">
      <c r="B427" s="10"/>
    </row>
    <row r="428" ht="12.75" customHeight="1">
      <c r="B428" s="10"/>
    </row>
    <row r="429" ht="12.75" customHeight="1">
      <c r="B429" s="10"/>
    </row>
    <row r="430" ht="12.75" customHeight="1">
      <c r="B430" s="10"/>
    </row>
    <row r="431" ht="12.75" customHeight="1">
      <c r="B431" s="10"/>
    </row>
    <row r="432" ht="12.75" customHeight="1">
      <c r="B432" s="10"/>
    </row>
    <row r="433" ht="12.75" customHeight="1">
      <c r="B433" s="10"/>
    </row>
    <row r="434" ht="12.75" customHeight="1">
      <c r="B434" s="10"/>
    </row>
    <row r="435" ht="12.75" customHeight="1">
      <c r="B435" s="10"/>
    </row>
    <row r="436" ht="12.75" customHeight="1">
      <c r="B436" s="10"/>
    </row>
    <row r="437" ht="12.75" customHeight="1">
      <c r="B437" s="10"/>
    </row>
    <row r="438" ht="12.75" customHeight="1">
      <c r="B438" s="10"/>
    </row>
    <row r="439" ht="12.75" customHeight="1">
      <c r="B439" s="10"/>
    </row>
    <row r="440" ht="12.75" customHeight="1">
      <c r="B440" s="10"/>
    </row>
    <row r="441" ht="12.75" customHeight="1">
      <c r="B441" s="10"/>
    </row>
    <row r="442" ht="12.75" customHeight="1">
      <c r="B442" s="10"/>
    </row>
    <row r="443" ht="12.75" customHeight="1">
      <c r="B443" s="10"/>
    </row>
    <row r="444" ht="12.75" customHeight="1">
      <c r="B444" s="10"/>
    </row>
    <row r="445" ht="12.75" customHeight="1">
      <c r="B445" s="10"/>
    </row>
    <row r="446" ht="12.75" customHeight="1">
      <c r="B446" s="10"/>
    </row>
    <row r="447" ht="12.75" customHeight="1">
      <c r="B447" s="10"/>
    </row>
    <row r="448" ht="12.75" customHeight="1">
      <c r="B448" s="10"/>
    </row>
    <row r="449" ht="12.75" customHeight="1">
      <c r="B449" s="10"/>
    </row>
    <row r="450" ht="12.75" customHeight="1">
      <c r="B450" s="10"/>
    </row>
    <row r="451" ht="12.75" customHeight="1">
      <c r="B451" s="10"/>
    </row>
    <row r="452" ht="12.75" customHeight="1">
      <c r="B452" s="10"/>
    </row>
    <row r="453" ht="12.75" customHeight="1">
      <c r="B453" s="10"/>
    </row>
    <row r="454" ht="12.75" customHeight="1">
      <c r="B454" s="10"/>
    </row>
    <row r="455" ht="12.75" customHeight="1">
      <c r="B455" s="10"/>
    </row>
    <row r="456" ht="12.75" customHeight="1">
      <c r="B456" s="10"/>
    </row>
    <row r="457" ht="12.75" customHeight="1">
      <c r="B457" s="10"/>
    </row>
    <row r="458" ht="12.75" customHeight="1">
      <c r="B458" s="10"/>
    </row>
    <row r="459" ht="12.75" customHeight="1">
      <c r="B459" s="10"/>
    </row>
    <row r="460" ht="12.75" customHeight="1">
      <c r="B460" s="10"/>
    </row>
    <row r="461" ht="12.75" customHeight="1">
      <c r="B461" s="10"/>
    </row>
    <row r="462" ht="12.75" customHeight="1">
      <c r="B462" s="10"/>
    </row>
    <row r="463" ht="12.75" customHeight="1">
      <c r="B463" s="10"/>
    </row>
    <row r="464" ht="12.75" customHeight="1">
      <c r="B464" s="10"/>
    </row>
    <row r="465" ht="12.75" customHeight="1">
      <c r="B465" s="10"/>
    </row>
    <row r="466" ht="12.75" customHeight="1">
      <c r="B466" s="10"/>
    </row>
    <row r="467" ht="12.75" customHeight="1">
      <c r="B467" s="10"/>
    </row>
    <row r="468" ht="12.75" customHeight="1">
      <c r="B468" s="10"/>
    </row>
    <row r="469" ht="12.75" customHeight="1">
      <c r="B469" s="10"/>
    </row>
    <row r="470" ht="12.75" customHeight="1">
      <c r="B470" s="10"/>
    </row>
    <row r="471" ht="12.75" customHeight="1">
      <c r="B471" s="10"/>
    </row>
    <row r="472" ht="12.75" customHeight="1">
      <c r="B472" s="10"/>
    </row>
    <row r="473" ht="12.75" customHeight="1">
      <c r="B473" s="10"/>
    </row>
    <row r="474" ht="12.75" customHeight="1">
      <c r="B474" s="10"/>
    </row>
    <row r="475" ht="12.75" customHeight="1">
      <c r="B475" s="10"/>
    </row>
    <row r="476" ht="12.75" customHeight="1">
      <c r="B476" s="10"/>
    </row>
    <row r="477" ht="12.75" customHeight="1">
      <c r="B477" s="10"/>
    </row>
    <row r="478" ht="12.75" customHeight="1">
      <c r="B478" s="10"/>
    </row>
    <row r="479" ht="12.75" customHeight="1">
      <c r="B479" s="10"/>
    </row>
    <row r="480" ht="12.75" customHeight="1">
      <c r="B480" s="10"/>
    </row>
    <row r="481" ht="12.75" customHeight="1">
      <c r="B481" s="10"/>
    </row>
    <row r="482" ht="12.75" customHeight="1">
      <c r="B482" s="10"/>
    </row>
    <row r="483" ht="12.75" customHeight="1">
      <c r="B483" s="10"/>
    </row>
    <row r="484" ht="12.75" customHeight="1">
      <c r="B484" s="10"/>
    </row>
    <row r="485" ht="12.75" customHeight="1">
      <c r="B485" s="10"/>
    </row>
    <row r="486" ht="12.75" customHeight="1">
      <c r="B486" s="10"/>
    </row>
    <row r="487" ht="12.75" customHeight="1">
      <c r="B487" s="10"/>
    </row>
    <row r="488" ht="12.75" customHeight="1">
      <c r="B488" s="10"/>
    </row>
    <row r="489" ht="12.75" customHeight="1">
      <c r="B489" s="10"/>
    </row>
    <row r="490" ht="12.75" customHeight="1">
      <c r="B490" s="10"/>
    </row>
    <row r="491" ht="12.75" customHeight="1">
      <c r="B491" s="10"/>
    </row>
    <row r="492" ht="12.75" customHeight="1">
      <c r="B492" s="10"/>
    </row>
    <row r="493" ht="12.75" customHeight="1">
      <c r="B493" s="10"/>
    </row>
    <row r="494" ht="12.75" customHeight="1">
      <c r="B494" s="10"/>
    </row>
    <row r="495" ht="12.75" customHeight="1">
      <c r="B495" s="10"/>
    </row>
    <row r="496" ht="12.75" customHeight="1">
      <c r="B496" s="10"/>
    </row>
    <row r="497" ht="12.75" customHeight="1">
      <c r="B497" s="10"/>
    </row>
    <row r="498" ht="12.75" customHeight="1">
      <c r="B498" s="10"/>
    </row>
    <row r="499" ht="12.75" customHeight="1">
      <c r="B499" s="10"/>
    </row>
    <row r="500" ht="12.75" customHeight="1">
      <c r="B500" s="10"/>
    </row>
    <row r="501" ht="12.75" customHeight="1">
      <c r="B501" s="10"/>
    </row>
    <row r="502" ht="12.75" customHeight="1">
      <c r="B502" s="10"/>
    </row>
    <row r="503" ht="12.75" customHeight="1">
      <c r="B503" s="10"/>
    </row>
    <row r="504" ht="12.75" customHeight="1">
      <c r="B504" s="10"/>
    </row>
    <row r="505" ht="12.75" customHeight="1">
      <c r="B505" s="10"/>
    </row>
    <row r="506" ht="12.75" customHeight="1">
      <c r="B506" s="10"/>
    </row>
    <row r="507" ht="12.75" customHeight="1">
      <c r="B507" s="10"/>
    </row>
    <row r="508" ht="12.75" customHeight="1">
      <c r="B508" s="10"/>
    </row>
    <row r="509" ht="12.75" customHeight="1">
      <c r="B509" s="10"/>
    </row>
    <row r="510" ht="12.75" customHeight="1">
      <c r="B510" s="10"/>
    </row>
    <row r="511" ht="12.75" customHeight="1">
      <c r="B511" s="10"/>
    </row>
    <row r="512" ht="12.75" customHeight="1">
      <c r="B512" s="10"/>
    </row>
    <row r="513" ht="12.75" customHeight="1">
      <c r="B513" s="10"/>
    </row>
    <row r="514" ht="12.75" customHeight="1">
      <c r="B514" s="10"/>
    </row>
    <row r="515" ht="12.75" customHeight="1">
      <c r="B515" s="10"/>
    </row>
    <row r="516" ht="12.75" customHeight="1">
      <c r="B516" s="10"/>
    </row>
    <row r="517" ht="12.75" customHeight="1">
      <c r="B517" s="10"/>
    </row>
    <row r="518" ht="12.75" customHeight="1">
      <c r="B518" s="10"/>
    </row>
    <row r="519" ht="12.75" customHeight="1">
      <c r="B519" s="10"/>
    </row>
    <row r="520" ht="12.75" customHeight="1">
      <c r="B520" s="10"/>
    </row>
    <row r="521" ht="12.75" customHeight="1">
      <c r="B521" s="10"/>
    </row>
    <row r="522" ht="12.75" customHeight="1">
      <c r="B522" s="10"/>
    </row>
    <row r="523" ht="12.75" customHeight="1">
      <c r="B523" s="10"/>
    </row>
    <row r="524" ht="12.75" customHeight="1">
      <c r="B524" s="10"/>
    </row>
    <row r="525" ht="12.75" customHeight="1">
      <c r="B525" s="10"/>
    </row>
    <row r="526" ht="12.75" customHeight="1">
      <c r="B526" s="10"/>
    </row>
    <row r="527" ht="12.75" customHeight="1">
      <c r="B527" s="10"/>
    </row>
    <row r="528" ht="12.75" customHeight="1">
      <c r="B528" s="10"/>
    </row>
    <row r="529" ht="12.75" customHeight="1">
      <c r="B529" s="10"/>
    </row>
    <row r="530" ht="12.75" customHeight="1">
      <c r="B530" s="10"/>
    </row>
    <row r="531" ht="12.75" customHeight="1">
      <c r="B531" s="10"/>
    </row>
    <row r="532" ht="12.75" customHeight="1">
      <c r="B532" s="10"/>
    </row>
    <row r="533" ht="12.75" customHeight="1">
      <c r="B533" s="10"/>
    </row>
    <row r="534" ht="12.75" customHeight="1">
      <c r="B534" s="10"/>
    </row>
    <row r="535" ht="12.75" customHeight="1">
      <c r="B535" s="10"/>
    </row>
    <row r="536" ht="12.75" customHeight="1">
      <c r="B536" s="10"/>
    </row>
    <row r="537" ht="12.75" customHeight="1">
      <c r="B537" s="10"/>
    </row>
    <row r="538" ht="12.75" customHeight="1">
      <c r="B538" s="10"/>
    </row>
    <row r="539" ht="12.75" customHeight="1">
      <c r="B539" s="10"/>
    </row>
    <row r="540" ht="12.75" customHeight="1">
      <c r="B540" s="10"/>
    </row>
    <row r="541" ht="12.75" customHeight="1">
      <c r="B541" s="10"/>
    </row>
    <row r="542" ht="12.75" customHeight="1">
      <c r="B542" s="10"/>
    </row>
    <row r="543" ht="12.75" customHeight="1">
      <c r="B543" s="10"/>
    </row>
    <row r="544" ht="12.75" customHeight="1">
      <c r="B544" s="10"/>
    </row>
    <row r="545" ht="12.75" customHeight="1">
      <c r="B545" s="10"/>
    </row>
    <row r="546" ht="12.75" customHeight="1">
      <c r="B546" s="10"/>
    </row>
    <row r="547" ht="12.75" customHeight="1">
      <c r="B547" s="10"/>
    </row>
    <row r="548" ht="12.75" customHeight="1">
      <c r="B548" s="10"/>
    </row>
    <row r="549" ht="12.75" customHeight="1">
      <c r="B549" s="10"/>
    </row>
    <row r="550" ht="12.75" customHeight="1">
      <c r="B550" s="10"/>
    </row>
    <row r="551" ht="12.75" customHeight="1">
      <c r="B551" s="10"/>
    </row>
    <row r="552" ht="12.75" customHeight="1">
      <c r="B552" s="10"/>
    </row>
    <row r="553" ht="12.75" customHeight="1">
      <c r="B553" s="10"/>
    </row>
    <row r="554" ht="12.75" customHeight="1">
      <c r="B554" s="10"/>
    </row>
    <row r="555" ht="12.75" customHeight="1">
      <c r="B555" s="10"/>
    </row>
    <row r="556" ht="12.75" customHeight="1">
      <c r="B556" s="10"/>
    </row>
    <row r="557" ht="12.75" customHeight="1">
      <c r="B557" s="10"/>
    </row>
    <row r="558" ht="12.75" customHeight="1">
      <c r="B558" s="10"/>
    </row>
    <row r="559" ht="12.75" customHeight="1">
      <c r="B559" s="10"/>
    </row>
    <row r="560" ht="12.75" customHeight="1">
      <c r="B560" s="10"/>
    </row>
    <row r="561" ht="12.75" customHeight="1">
      <c r="B561" s="10"/>
    </row>
    <row r="562" ht="12.75" customHeight="1">
      <c r="B562" s="10"/>
    </row>
    <row r="563" ht="12.75" customHeight="1">
      <c r="B563" s="10"/>
    </row>
    <row r="564" ht="12.75" customHeight="1">
      <c r="B564" s="10"/>
    </row>
    <row r="565" ht="12.75" customHeight="1">
      <c r="B565" s="10"/>
    </row>
    <row r="566" ht="12.75" customHeight="1">
      <c r="B566" s="10"/>
    </row>
    <row r="567" ht="12.75" customHeight="1">
      <c r="B567" s="10"/>
    </row>
    <row r="568" ht="12.75" customHeight="1">
      <c r="B568" s="10"/>
    </row>
    <row r="569" ht="12.75" customHeight="1">
      <c r="B569" s="10"/>
    </row>
    <row r="570" ht="12.75" customHeight="1">
      <c r="B570" s="10"/>
    </row>
    <row r="571" ht="12.75" customHeight="1">
      <c r="B571" s="10"/>
    </row>
    <row r="572" ht="12.75" customHeight="1">
      <c r="B572" s="10"/>
    </row>
    <row r="573" ht="12.75" customHeight="1">
      <c r="B573" s="10"/>
    </row>
    <row r="574" ht="12.75" customHeight="1">
      <c r="B574" s="10"/>
    </row>
    <row r="575" ht="12.75" customHeight="1">
      <c r="B575" s="10"/>
    </row>
    <row r="576" ht="12.75" customHeight="1">
      <c r="B576" s="10"/>
    </row>
    <row r="577" ht="12.75" customHeight="1">
      <c r="B577" s="10"/>
    </row>
    <row r="578" ht="12.75" customHeight="1">
      <c r="B578" s="10"/>
    </row>
    <row r="579" ht="12.75" customHeight="1">
      <c r="B579" s="10"/>
    </row>
    <row r="580" ht="12.75" customHeight="1">
      <c r="B580" s="10"/>
    </row>
    <row r="581" ht="12.75" customHeight="1">
      <c r="B581" s="10"/>
    </row>
    <row r="582" ht="12.75" customHeight="1">
      <c r="B582" s="10"/>
    </row>
    <row r="583" ht="12.75" customHeight="1">
      <c r="B583" s="10"/>
    </row>
    <row r="584" ht="12.75" customHeight="1">
      <c r="B584" s="10"/>
    </row>
    <row r="585" ht="12.75" customHeight="1">
      <c r="B585" s="10"/>
    </row>
    <row r="586" ht="12.75" customHeight="1">
      <c r="B586" s="10"/>
    </row>
    <row r="587" ht="12.75" customHeight="1">
      <c r="B587" s="10"/>
    </row>
    <row r="588" ht="12.75" customHeight="1">
      <c r="B588" s="10"/>
    </row>
    <row r="589" ht="12.75" customHeight="1">
      <c r="B589" s="10"/>
    </row>
    <row r="590" ht="12.75" customHeight="1">
      <c r="B590" s="10"/>
    </row>
    <row r="591" ht="12.75" customHeight="1">
      <c r="B591" s="10"/>
    </row>
    <row r="592" ht="12.75" customHeight="1">
      <c r="B592" s="10"/>
    </row>
    <row r="593" ht="12.75" customHeight="1">
      <c r="B593" s="10"/>
    </row>
    <row r="594" ht="12.75" customHeight="1">
      <c r="B594" s="10"/>
    </row>
    <row r="595" ht="12.75" customHeight="1">
      <c r="B595" s="10"/>
    </row>
    <row r="596" ht="12.75" customHeight="1">
      <c r="B596" s="10"/>
    </row>
    <row r="597" ht="12.75" customHeight="1">
      <c r="B597" s="10"/>
    </row>
    <row r="598" ht="12.75" customHeight="1">
      <c r="B598" s="10"/>
    </row>
    <row r="599" ht="12.75" customHeight="1">
      <c r="B599" s="10"/>
    </row>
    <row r="600" ht="12.75" customHeight="1">
      <c r="B600" s="10"/>
    </row>
    <row r="601" ht="12.75" customHeight="1">
      <c r="B601" s="10"/>
    </row>
    <row r="602" ht="12.75" customHeight="1">
      <c r="B602" s="10"/>
    </row>
    <row r="603" ht="12.75" customHeight="1">
      <c r="B603" s="10"/>
    </row>
    <row r="604" ht="12.75" customHeight="1">
      <c r="B604" s="10"/>
    </row>
    <row r="605" ht="12.75" customHeight="1">
      <c r="B605" s="10"/>
    </row>
    <row r="606" ht="12.75" customHeight="1">
      <c r="B606" s="10"/>
    </row>
    <row r="607" ht="12.75" customHeight="1">
      <c r="B607" s="10"/>
    </row>
    <row r="608" ht="12.75" customHeight="1">
      <c r="B608" s="10"/>
    </row>
    <row r="609" ht="12.75" customHeight="1">
      <c r="B609" s="10"/>
    </row>
    <row r="610" ht="12.75" customHeight="1">
      <c r="B610" s="10"/>
    </row>
    <row r="611" ht="12.75" customHeight="1">
      <c r="B611" s="10"/>
    </row>
    <row r="612" ht="12.75" customHeight="1">
      <c r="B612" s="10"/>
    </row>
    <row r="613" ht="12.75" customHeight="1">
      <c r="B613" s="10"/>
    </row>
    <row r="614" ht="12.75" customHeight="1">
      <c r="B614" s="10"/>
    </row>
    <row r="615" ht="12.75" customHeight="1">
      <c r="B615" s="10"/>
    </row>
    <row r="616" ht="12.75" customHeight="1">
      <c r="B616" s="10"/>
    </row>
    <row r="617" ht="12.75" customHeight="1">
      <c r="B617" s="10"/>
    </row>
    <row r="618" ht="12.75" customHeight="1">
      <c r="B618" s="10"/>
    </row>
    <row r="619" ht="12.75" customHeight="1">
      <c r="B619" s="10"/>
    </row>
    <row r="620" ht="12.75" customHeight="1">
      <c r="B620" s="10"/>
    </row>
    <row r="621" ht="12.75" customHeight="1">
      <c r="B621" s="10"/>
    </row>
    <row r="622" ht="12.75" customHeight="1">
      <c r="B622" s="10"/>
    </row>
    <row r="623" ht="12.75" customHeight="1">
      <c r="B623" s="10"/>
    </row>
    <row r="624" ht="12.75" customHeight="1">
      <c r="B624" s="10"/>
    </row>
    <row r="625" ht="12.75" customHeight="1">
      <c r="B625" s="10"/>
    </row>
    <row r="626" ht="12.75" customHeight="1">
      <c r="B626" s="10"/>
    </row>
    <row r="627" ht="12.75" customHeight="1">
      <c r="B627" s="10"/>
    </row>
    <row r="628" ht="12.75" customHeight="1">
      <c r="B628" s="10"/>
    </row>
    <row r="629" ht="12.75" customHeight="1">
      <c r="B629" s="10"/>
    </row>
    <row r="630" ht="12.75" customHeight="1">
      <c r="B630" s="10"/>
    </row>
    <row r="631" ht="12.75" customHeight="1">
      <c r="B631" s="10"/>
    </row>
    <row r="632" ht="12.75" customHeight="1">
      <c r="B632" s="10"/>
    </row>
    <row r="633" ht="12.75" customHeight="1">
      <c r="B633" s="10"/>
    </row>
    <row r="634" ht="12.75" customHeight="1">
      <c r="B634" s="10"/>
    </row>
    <row r="635" ht="12.75" customHeight="1">
      <c r="B635" s="10"/>
    </row>
    <row r="636" ht="12.75" customHeight="1">
      <c r="B636" s="10"/>
    </row>
    <row r="637" ht="12.75" customHeight="1">
      <c r="B637" s="10"/>
    </row>
    <row r="638" ht="12.75" customHeight="1">
      <c r="B638" s="10"/>
    </row>
    <row r="639" ht="12.75" customHeight="1">
      <c r="B639" s="10"/>
    </row>
    <row r="640" ht="12.75" customHeight="1">
      <c r="B640" s="10"/>
    </row>
    <row r="641" ht="12.75" customHeight="1">
      <c r="B641" s="10"/>
    </row>
    <row r="642" ht="12.75" customHeight="1">
      <c r="B642" s="10"/>
    </row>
    <row r="643" ht="12.75" customHeight="1">
      <c r="B643" s="10"/>
    </row>
    <row r="644" ht="12.75" customHeight="1">
      <c r="B644" s="10"/>
    </row>
    <row r="645" ht="12.75" customHeight="1">
      <c r="B645" s="10"/>
    </row>
    <row r="646" ht="12.75" customHeight="1">
      <c r="B646" s="10"/>
    </row>
    <row r="647" ht="12.75" customHeight="1">
      <c r="B647" s="10"/>
    </row>
    <row r="648" ht="12.75" customHeight="1">
      <c r="B648" s="10"/>
    </row>
    <row r="649" ht="12.75" customHeight="1">
      <c r="B649" s="10"/>
    </row>
    <row r="650" ht="12.75" customHeight="1">
      <c r="B650" s="10"/>
    </row>
    <row r="651" ht="12.75" customHeight="1">
      <c r="B651" s="10"/>
    </row>
    <row r="652" ht="12.75" customHeight="1">
      <c r="B652" s="10"/>
    </row>
    <row r="653" ht="12.75" customHeight="1">
      <c r="B653" s="10"/>
    </row>
    <row r="654" ht="12.75" customHeight="1">
      <c r="B654" s="10"/>
    </row>
    <row r="655" ht="12.75" customHeight="1">
      <c r="B655" s="10"/>
    </row>
    <row r="656" ht="12.75" customHeight="1">
      <c r="B656" s="10"/>
    </row>
    <row r="657" ht="12.75" customHeight="1">
      <c r="B657" s="10"/>
    </row>
    <row r="658" ht="12.75" customHeight="1">
      <c r="B658" s="10"/>
    </row>
    <row r="659" ht="12.75" customHeight="1">
      <c r="B659" s="10"/>
    </row>
    <row r="660" ht="12.75" customHeight="1">
      <c r="B660" s="10"/>
    </row>
    <row r="661" ht="12.75" customHeight="1">
      <c r="B661" s="10"/>
    </row>
    <row r="662" ht="12.75" customHeight="1">
      <c r="B662" s="10"/>
    </row>
    <row r="663" ht="12.75" customHeight="1">
      <c r="B663" s="10"/>
    </row>
    <row r="664" ht="12.75" customHeight="1">
      <c r="B664" s="10"/>
    </row>
    <row r="665" ht="12.75" customHeight="1">
      <c r="B665" s="10"/>
    </row>
    <row r="666" ht="12.75" customHeight="1">
      <c r="B666" s="10"/>
    </row>
    <row r="667" ht="12.75" customHeight="1">
      <c r="B667" s="10"/>
    </row>
    <row r="668" ht="12.75" customHeight="1">
      <c r="B668" s="10"/>
    </row>
    <row r="669" ht="12.75" customHeight="1">
      <c r="B669" s="10"/>
    </row>
    <row r="670" ht="12.75" customHeight="1">
      <c r="B670" s="10"/>
    </row>
    <row r="671" ht="12.75" customHeight="1">
      <c r="B671" s="10"/>
    </row>
    <row r="672" ht="12.75" customHeight="1">
      <c r="B672" s="10"/>
    </row>
    <row r="673" ht="12.75" customHeight="1">
      <c r="B673" s="10"/>
    </row>
    <row r="674" ht="12.75" customHeight="1">
      <c r="B674" s="10"/>
    </row>
    <row r="675" ht="12.75" customHeight="1">
      <c r="B675" s="10"/>
    </row>
    <row r="676" ht="12.75" customHeight="1">
      <c r="B676" s="10"/>
    </row>
    <row r="677" ht="12.75" customHeight="1">
      <c r="B677" s="10"/>
    </row>
    <row r="678" ht="12.75" customHeight="1">
      <c r="B678" s="10"/>
    </row>
    <row r="679" ht="12.75" customHeight="1">
      <c r="B679" s="10"/>
    </row>
    <row r="680" ht="12.75" customHeight="1">
      <c r="B680" s="10"/>
    </row>
    <row r="681" ht="12.75" customHeight="1">
      <c r="B681" s="10"/>
    </row>
    <row r="682" ht="12.75" customHeight="1">
      <c r="B682" s="10"/>
    </row>
    <row r="683" ht="12.75" customHeight="1">
      <c r="B683" s="10"/>
    </row>
    <row r="684" ht="12.75" customHeight="1">
      <c r="B684" s="10"/>
    </row>
    <row r="685" ht="12.75" customHeight="1">
      <c r="B685" s="10"/>
    </row>
    <row r="686" ht="12.75" customHeight="1">
      <c r="B686" s="10"/>
    </row>
    <row r="687" ht="12.75" customHeight="1">
      <c r="B687" s="10"/>
    </row>
    <row r="688" ht="12.75" customHeight="1">
      <c r="B688" s="10"/>
    </row>
    <row r="689" ht="12.75" customHeight="1">
      <c r="B689" s="10"/>
    </row>
    <row r="690" ht="12.75" customHeight="1">
      <c r="B690" s="10"/>
    </row>
    <row r="691" ht="12.75" customHeight="1">
      <c r="B691" s="10"/>
    </row>
    <row r="692" ht="12.75" customHeight="1">
      <c r="B692" s="10"/>
    </row>
    <row r="693" ht="12.75" customHeight="1">
      <c r="B693" s="10"/>
    </row>
    <row r="694" ht="12.75" customHeight="1">
      <c r="B694" s="10"/>
    </row>
    <row r="695" ht="12.75" customHeight="1">
      <c r="B695" s="10"/>
    </row>
    <row r="696" ht="12.75" customHeight="1">
      <c r="B696" s="10"/>
    </row>
    <row r="697" ht="12.75" customHeight="1">
      <c r="B697" s="10"/>
    </row>
    <row r="698" ht="12.75" customHeight="1">
      <c r="B698" s="10"/>
    </row>
    <row r="699" ht="12.75" customHeight="1">
      <c r="B699" s="10"/>
    </row>
    <row r="700" ht="12.75" customHeight="1">
      <c r="B700" s="10"/>
    </row>
    <row r="701" ht="12.75" customHeight="1">
      <c r="B701" s="10"/>
    </row>
    <row r="702" ht="12.75" customHeight="1">
      <c r="B702" s="10"/>
    </row>
    <row r="703" ht="12.75" customHeight="1">
      <c r="B703" s="10"/>
    </row>
    <row r="704" ht="12.75" customHeight="1">
      <c r="B704" s="10"/>
    </row>
    <row r="705" ht="12.75" customHeight="1">
      <c r="B705" s="10"/>
    </row>
    <row r="706" ht="12.75" customHeight="1">
      <c r="B706" s="10"/>
    </row>
    <row r="707" ht="12.75" customHeight="1">
      <c r="B707" s="10"/>
    </row>
    <row r="708" ht="12.75" customHeight="1">
      <c r="B708" s="10"/>
    </row>
    <row r="709" ht="12.75" customHeight="1">
      <c r="B709" s="10"/>
    </row>
    <row r="710" ht="12.75" customHeight="1">
      <c r="B710" s="10"/>
    </row>
    <row r="711" ht="12.75" customHeight="1">
      <c r="B711" s="10"/>
    </row>
    <row r="712" ht="12.75" customHeight="1">
      <c r="B712" s="10"/>
    </row>
    <row r="713" ht="12.75" customHeight="1">
      <c r="B713" s="10"/>
    </row>
    <row r="714" ht="12.75" customHeight="1">
      <c r="B714" s="10"/>
    </row>
    <row r="715" ht="12.75" customHeight="1">
      <c r="B715" s="10"/>
    </row>
    <row r="716" ht="12.75" customHeight="1">
      <c r="B716" s="10"/>
    </row>
    <row r="717" ht="12.75" customHeight="1">
      <c r="B717" s="10"/>
    </row>
    <row r="718" ht="12.75" customHeight="1">
      <c r="B718" s="10"/>
    </row>
    <row r="719" ht="12.75" customHeight="1">
      <c r="B719" s="10"/>
    </row>
    <row r="720" ht="12.75" customHeight="1">
      <c r="B720" s="10"/>
    </row>
    <row r="721" ht="12.75" customHeight="1">
      <c r="B721" s="10"/>
    </row>
    <row r="722" ht="12.75" customHeight="1">
      <c r="B722" s="10"/>
    </row>
    <row r="723" ht="12.75" customHeight="1">
      <c r="B723" s="10"/>
    </row>
    <row r="724" ht="12.75" customHeight="1">
      <c r="B724" s="10"/>
    </row>
    <row r="725" ht="12.75" customHeight="1">
      <c r="B725" s="10"/>
    </row>
    <row r="726" ht="12.75" customHeight="1">
      <c r="B726" s="10"/>
    </row>
    <row r="727" ht="12.75" customHeight="1">
      <c r="B727" s="10"/>
    </row>
    <row r="728" ht="12.75" customHeight="1">
      <c r="B728" s="10"/>
    </row>
    <row r="729" ht="12.75" customHeight="1">
      <c r="B729" s="10"/>
    </row>
    <row r="730" ht="12.75" customHeight="1">
      <c r="B730" s="10"/>
    </row>
    <row r="731" ht="12.75" customHeight="1">
      <c r="B731" s="10"/>
    </row>
    <row r="732" ht="12.75" customHeight="1">
      <c r="B732" s="10"/>
    </row>
    <row r="733" ht="12.75" customHeight="1">
      <c r="B733" s="10"/>
    </row>
    <row r="734" ht="12.75" customHeight="1">
      <c r="B734" s="10"/>
    </row>
    <row r="735" ht="12.75" customHeight="1">
      <c r="B735" s="10"/>
    </row>
    <row r="736" ht="12.75" customHeight="1">
      <c r="B736" s="10"/>
    </row>
    <row r="737" ht="12.75" customHeight="1">
      <c r="B737" s="10"/>
    </row>
    <row r="738" ht="12.75" customHeight="1">
      <c r="B738" s="10"/>
    </row>
    <row r="739" ht="12.75" customHeight="1">
      <c r="B739" s="10"/>
    </row>
    <row r="740" ht="12.75" customHeight="1">
      <c r="B740" s="10"/>
    </row>
    <row r="741" ht="12.75" customHeight="1">
      <c r="B741" s="10"/>
    </row>
    <row r="742" ht="12.75" customHeight="1">
      <c r="B742" s="10"/>
    </row>
    <row r="743" ht="12.75" customHeight="1">
      <c r="B743" s="10"/>
    </row>
    <row r="744" ht="12.75" customHeight="1">
      <c r="B744" s="10"/>
    </row>
    <row r="745" ht="12.75" customHeight="1">
      <c r="B745" s="10"/>
    </row>
    <row r="746" ht="12.75" customHeight="1">
      <c r="B746" s="10"/>
    </row>
    <row r="747" ht="12.75" customHeight="1">
      <c r="B747" s="10"/>
    </row>
    <row r="748" ht="12.75" customHeight="1">
      <c r="B748" s="10"/>
    </row>
    <row r="749" ht="12.75" customHeight="1">
      <c r="B749" s="10"/>
    </row>
    <row r="750" ht="12.75" customHeight="1">
      <c r="B750" s="10"/>
    </row>
    <row r="751" ht="12.75" customHeight="1">
      <c r="B751" s="10"/>
    </row>
    <row r="752" ht="12.75" customHeight="1">
      <c r="B752" s="10"/>
    </row>
    <row r="753" ht="12.75" customHeight="1">
      <c r="B753" s="10"/>
    </row>
    <row r="754" ht="12.75" customHeight="1">
      <c r="B754" s="10"/>
    </row>
    <row r="755" ht="12.75" customHeight="1">
      <c r="B755" s="10"/>
    </row>
    <row r="756" ht="12.75" customHeight="1">
      <c r="B756" s="10"/>
    </row>
    <row r="757" ht="12.75" customHeight="1">
      <c r="B757" s="10"/>
    </row>
    <row r="758" ht="12.75" customHeight="1">
      <c r="B758" s="10"/>
    </row>
    <row r="759" ht="12.75" customHeight="1">
      <c r="B759" s="10"/>
    </row>
    <row r="760" ht="12.75" customHeight="1">
      <c r="B760" s="10"/>
    </row>
    <row r="761" ht="12.75" customHeight="1">
      <c r="B761" s="10"/>
    </row>
    <row r="762" ht="12.75" customHeight="1">
      <c r="B762" s="10"/>
    </row>
    <row r="763" ht="12.75" customHeight="1">
      <c r="B763" s="10"/>
    </row>
    <row r="764" ht="12.75" customHeight="1">
      <c r="B764" s="10"/>
    </row>
    <row r="765" ht="12.75" customHeight="1">
      <c r="B765" s="10"/>
    </row>
    <row r="766" ht="12.75" customHeight="1">
      <c r="B766" s="10"/>
    </row>
    <row r="767" ht="12.75" customHeight="1">
      <c r="B767" s="10"/>
    </row>
    <row r="768" ht="12.75" customHeight="1">
      <c r="B768" s="10"/>
    </row>
    <row r="769" ht="12.75" customHeight="1">
      <c r="B769" s="10"/>
    </row>
    <row r="770" ht="12.75" customHeight="1">
      <c r="B770" s="10"/>
    </row>
    <row r="771" ht="12.75" customHeight="1">
      <c r="B771" s="10"/>
    </row>
    <row r="772" ht="12.75" customHeight="1">
      <c r="B772" s="10"/>
    </row>
    <row r="773" ht="12.75" customHeight="1">
      <c r="B773" s="10"/>
    </row>
    <row r="774" ht="12.75" customHeight="1">
      <c r="B774" s="10"/>
    </row>
    <row r="775" ht="12.75" customHeight="1">
      <c r="B775" s="10"/>
    </row>
    <row r="776" ht="12.75" customHeight="1">
      <c r="B776" s="10"/>
    </row>
    <row r="777" ht="12.75" customHeight="1">
      <c r="B777" s="10"/>
    </row>
    <row r="778" ht="12.75" customHeight="1">
      <c r="B778" s="10"/>
    </row>
    <row r="779" ht="12.75" customHeight="1">
      <c r="B779" s="10"/>
    </row>
    <row r="780" ht="12.75" customHeight="1">
      <c r="B780" s="10"/>
    </row>
    <row r="781" ht="12.75" customHeight="1">
      <c r="B781" s="10"/>
    </row>
    <row r="782" ht="12.75" customHeight="1">
      <c r="B782" s="10"/>
    </row>
    <row r="783" ht="12.75" customHeight="1">
      <c r="B783" s="10"/>
    </row>
    <row r="784" ht="12.75" customHeight="1">
      <c r="B784" s="10"/>
    </row>
    <row r="785" ht="12.75" customHeight="1">
      <c r="B785" s="10"/>
    </row>
    <row r="786" ht="12.75" customHeight="1">
      <c r="B786" s="10"/>
    </row>
    <row r="787" ht="12.75" customHeight="1">
      <c r="B787" s="10"/>
    </row>
    <row r="788" ht="12.75" customHeight="1">
      <c r="B788" s="10"/>
    </row>
    <row r="789" ht="12.75" customHeight="1">
      <c r="B789" s="10"/>
    </row>
    <row r="790" ht="12.75" customHeight="1">
      <c r="B790" s="10"/>
    </row>
    <row r="791" ht="12.75" customHeight="1">
      <c r="B791" s="10"/>
    </row>
    <row r="792" ht="12.75" customHeight="1">
      <c r="B792" s="10"/>
    </row>
    <row r="793" ht="12.75" customHeight="1">
      <c r="B793" s="10"/>
    </row>
    <row r="794" ht="12.75" customHeight="1">
      <c r="B794" s="10"/>
    </row>
    <row r="795" ht="12.75" customHeight="1">
      <c r="B795" s="10"/>
    </row>
    <row r="796" ht="12.75" customHeight="1">
      <c r="B796" s="10"/>
    </row>
    <row r="797" ht="12.75" customHeight="1">
      <c r="B797" s="10"/>
    </row>
    <row r="798" ht="12.75" customHeight="1">
      <c r="B798" s="10"/>
    </row>
    <row r="799" ht="12.75" customHeight="1">
      <c r="B799" s="10"/>
    </row>
    <row r="800" ht="12.75" customHeight="1">
      <c r="B800" s="10"/>
    </row>
    <row r="801" ht="12.75" customHeight="1">
      <c r="B801" s="10"/>
    </row>
    <row r="802" ht="12.75" customHeight="1">
      <c r="B802" s="10"/>
    </row>
    <row r="803" ht="12.75" customHeight="1">
      <c r="B803" s="10"/>
    </row>
    <row r="804" ht="12.75" customHeight="1">
      <c r="B804" s="10"/>
    </row>
    <row r="805" ht="12.75" customHeight="1">
      <c r="B805" s="10"/>
    </row>
    <row r="806" ht="12.75" customHeight="1">
      <c r="B806" s="10"/>
    </row>
    <row r="807" ht="12.75" customHeight="1">
      <c r="B807" s="10"/>
    </row>
    <row r="808" ht="12.75" customHeight="1">
      <c r="B808" s="10"/>
    </row>
    <row r="809" ht="12.75" customHeight="1">
      <c r="B809" s="10"/>
    </row>
    <row r="810" ht="12.75" customHeight="1">
      <c r="B810" s="10"/>
    </row>
    <row r="811" ht="12.75" customHeight="1">
      <c r="B811" s="10"/>
    </row>
    <row r="812" ht="12.75" customHeight="1">
      <c r="B812" s="10"/>
    </row>
    <row r="813" ht="12.75" customHeight="1">
      <c r="B813" s="10"/>
    </row>
    <row r="814" ht="12.75" customHeight="1">
      <c r="B814" s="10"/>
    </row>
    <row r="815" ht="12.75" customHeight="1">
      <c r="B815" s="10"/>
    </row>
    <row r="816" ht="12.75" customHeight="1">
      <c r="B816" s="10"/>
    </row>
    <row r="817" ht="12.75" customHeight="1">
      <c r="B817" s="10"/>
    </row>
    <row r="818" ht="12.75" customHeight="1">
      <c r="B818" s="10"/>
    </row>
    <row r="819" ht="12.75" customHeight="1">
      <c r="B819" s="10"/>
    </row>
    <row r="820" ht="12.75" customHeight="1">
      <c r="B820" s="10"/>
    </row>
    <row r="821" ht="12.75" customHeight="1">
      <c r="B821" s="10"/>
    </row>
    <row r="822" ht="12.75" customHeight="1">
      <c r="B822" s="10"/>
    </row>
    <row r="823" ht="12.75" customHeight="1">
      <c r="B823" s="10"/>
    </row>
    <row r="824" ht="12.75" customHeight="1">
      <c r="B824" s="10"/>
    </row>
    <row r="825" ht="12.75" customHeight="1">
      <c r="B825" s="10"/>
    </row>
    <row r="826" ht="12.75" customHeight="1">
      <c r="B826" s="10"/>
    </row>
    <row r="827" ht="12.75" customHeight="1">
      <c r="B827" s="10"/>
    </row>
    <row r="828" ht="12.75" customHeight="1">
      <c r="B828" s="10"/>
    </row>
    <row r="829" ht="12.75" customHeight="1">
      <c r="B829" s="10"/>
    </row>
    <row r="830" ht="12.75" customHeight="1">
      <c r="B830" s="10"/>
    </row>
    <row r="831" ht="12.75" customHeight="1">
      <c r="B831" s="10"/>
    </row>
    <row r="832" ht="12.75" customHeight="1">
      <c r="B832" s="10"/>
    </row>
    <row r="833" ht="12.75" customHeight="1">
      <c r="B833" s="10"/>
    </row>
    <row r="834" ht="12.75" customHeight="1">
      <c r="B834" s="10"/>
    </row>
    <row r="835" ht="12.75" customHeight="1">
      <c r="B835" s="10"/>
    </row>
    <row r="836" ht="12.75" customHeight="1">
      <c r="B836" s="10"/>
    </row>
    <row r="837" ht="12.75" customHeight="1">
      <c r="B837" s="10"/>
    </row>
    <row r="838" ht="12.75" customHeight="1">
      <c r="B838" s="10"/>
    </row>
    <row r="839" ht="12.75" customHeight="1">
      <c r="B839" s="10"/>
    </row>
    <row r="840" ht="12.75" customHeight="1">
      <c r="B840" s="10"/>
    </row>
    <row r="841" ht="12.75" customHeight="1">
      <c r="B841" s="10"/>
    </row>
    <row r="842" ht="12.75" customHeight="1">
      <c r="B842" s="10"/>
    </row>
    <row r="843" ht="12.75" customHeight="1">
      <c r="B843" s="10"/>
    </row>
    <row r="844" ht="12.75" customHeight="1">
      <c r="B844" s="10"/>
    </row>
    <row r="845" ht="12.75" customHeight="1">
      <c r="B845" s="10"/>
    </row>
    <row r="846" ht="12.75" customHeight="1">
      <c r="B846" s="10"/>
    </row>
    <row r="847" ht="12.75" customHeight="1">
      <c r="B847" s="10"/>
    </row>
    <row r="848" ht="12.75" customHeight="1">
      <c r="B848" s="10"/>
    </row>
    <row r="849" ht="12.75" customHeight="1">
      <c r="B849" s="10"/>
    </row>
    <row r="850" ht="12.75" customHeight="1">
      <c r="B850" s="10"/>
    </row>
    <row r="851" ht="12.75" customHeight="1">
      <c r="B851" s="10"/>
    </row>
    <row r="852" ht="12.75" customHeight="1">
      <c r="B852" s="10"/>
    </row>
    <row r="853" ht="12.75" customHeight="1">
      <c r="B853" s="10"/>
    </row>
    <row r="854" ht="12.75" customHeight="1">
      <c r="B854" s="10"/>
    </row>
    <row r="855" ht="12.75" customHeight="1">
      <c r="B855" s="10"/>
    </row>
    <row r="856" ht="12.75" customHeight="1">
      <c r="B856" s="10"/>
    </row>
    <row r="857" ht="12.75" customHeight="1">
      <c r="B857" s="10"/>
    </row>
    <row r="858" ht="12.75" customHeight="1">
      <c r="B858" s="10"/>
    </row>
    <row r="859" ht="12.75" customHeight="1">
      <c r="B859" s="10"/>
    </row>
    <row r="860" ht="12.75" customHeight="1">
      <c r="B860" s="10"/>
    </row>
    <row r="861" ht="12.75" customHeight="1">
      <c r="B861" s="10"/>
    </row>
    <row r="862" ht="12.75" customHeight="1">
      <c r="B862" s="10"/>
    </row>
    <row r="863" ht="12.75" customHeight="1">
      <c r="B863" s="10"/>
    </row>
    <row r="864" ht="12.75" customHeight="1">
      <c r="B864" s="10"/>
    </row>
    <row r="865" ht="12.75" customHeight="1">
      <c r="B865" s="10"/>
    </row>
    <row r="866" ht="12.75" customHeight="1">
      <c r="B866" s="10"/>
    </row>
    <row r="867" ht="12.75" customHeight="1">
      <c r="B867" s="10"/>
    </row>
    <row r="868" ht="12.75" customHeight="1">
      <c r="B868" s="10"/>
    </row>
    <row r="869" ht="12.75" customHeight="1">
      <c r="B869" s="10"/>
    </row>
    <row r="870" ht="12.75" customHeight="1">
      <c r="B870" s="10"/>
    </row>
    <row r="871" ht="12.75" customHeight="1">
      <c r="B871" s="10"/>
    </row>
    <row r="872" ht="12.75" customHeight="1">
      <c r="B872" s="10"/>
    </row>
    <row r="873" ht="12.75" customHeight="1">
      <c r="B873" s="10"/>
    </row>
    <row r="874" ht="12.75" customHeight="1">
      <c r="B874" s="10"/>
    </row>
    <row r="875" ht="12.75" customHeight="1">
      <c r="B875" s="10"/>
    </row>
    <row r="876" ht="12.75" customHeight="1">
      <c r="B876" s="10"/>
    </row>
    <row r="877" ht="12.75" customHeight="1">
      <c r="B877" s="10"/>
    </row>
    <row r="878" ht="12.75" customHeight="1">
      <c r="B878" s="10"/>
    </row>
    <row r="879" ht="12.75" customHeight="1">
      <c r="B879" s="10"/>
    </row>
    <row r="880" ht="12.75" customHeight="1">
      <c r="B880" s="10"/>
    </row>
    <row r="881" ht="12.75" customHeight="1">
      <c r="B881" s="10"/>
    </row>
    <row r="882" ht="12.75" customHeight="1">
      <c r="B882" s="10"/>
    </row>
    <row r="883" ht="12.75" customHeight="1">
      <c r="B883" s="10"/>
    </row>
    <row r="884" ht="12.75" customHeight="1">
      <c r="B884" s="10"/>
    </row>
    <row r="885" ht="12.75" customHeight="1">
      <c r="B885" s="10"/>
    </row>
    <row r="886" ht="12.75" customHeight="1">
      <c r="B886" s="10"/>
    </row>
    <row r="887" ht="12.75" customHeight="1">
      <c r="B887" s="10"/>
    </row>
    <row r="888" ht="12.75" customHeight="1">
      <c r="B888" s="10"/>
    </row>
    <row r="889" ht="12.75" customHeight="1">
      <c r="B889" s="10"/>
    </row>
    <row r="890" ht="12.75" customHeight="1">
      <c r="B890" s="10"/>
    </row>
    <row r="891" ht="12.75" customHeight="1">
      <c r="B891" s="10"/>
    </row>
    <row r="892" ht="12.75" customHeight="1">
      <c r="B892" s="10"/>
    </row>
    <row r="893" ht="12.75" customHeight="1">
      <c r="B893" s="10"/>
    </row>
    <row r="894" ht="12.75" customHeight="1">
      <c r="B894" s="10"/>
    </row>
    <row r="895" ht="12.75" customHeight="1">
      <c r="B895" s="10"/>
    </row>
    <row r="896" ht="12.75" customHeight="1">
      <c r="B896" s="10"/>
    </row>
    <row r="897" ht="12.75" customHeight="1">
      <c r="B897" s="10"/>
    </row>
    <row r="898" ht="12.75" customHeight="1">
      <c r="B898" s="10"/>
    </row>
    <row r="899" ht="12.75" customHeight="1">
      <c r="B899" s="10"/>
    </row>
    <row r="900" ht="12.75" customHeight="1">
      <c r="B900" s="10"/>
    </row>
    <row r="901" ht="12.75" customHeight="1">
      <c r="B901" s="10"/>
    </row>
    <row r="902" ht="12.75" customHeight="1">
      <c r="B902" s="10"/>
    </row>
    <row r="903" ht="12.75" customHeight="1">
      <c r="B903" s="10"/>
    </row>
    <row r="904" ht="12.75" customHeight="1">
      <c r="B904" s="10"/>
    </row>
    <row r="905" ht="12.75" customHeight="1">
      <c r="B905" s="10"/>
    </row>
    <row r="906" ht="12.75" customHeight="1">
      <c r="B906" s="10"/>
    </row>
    <row r="907" ht="12.75" customHeight="1">
      <c r="B907" s="10"/>
    </row>
    <row r="908" ht="12.75" customHeight="1">
      <c r="B908" s="10"/>
    </row>
    <row r="909" ht="12.75" customHeight="1">
      <c r="B909" s="10"/>
    </row>
    <row r="910" ht="12.75" customHeight="1">
      <c r="B910" s="10"/>
    </row>
    <row r="911" ht="12.75" customHeight="1">
      <c r="B911" s="10"/>
    </row>
    <row r="912" ht="12.75" customHeight="1">
      <c r="B912" s="10"/>
    </row>
    <row r="913" ht="12.75" customHeight="1">
      <c r="B913" s="10"/>
    </row>
    <row r="914" ht="12.75" customHeight="1">
      <c r="B914" s="10"/>
    </row>
    <row r="915" ht="12.75" customHeight="1">
      <c r="B915" s="10"/>
    </row>
    <row r="916" ht="12.75" customHeight="1">
      <c r="B916" s="10"/>
    </row>
    <row r="917" ht="12.75" customHeight="1">
      <c r="B917" s="10"/>
    </row>
    <row r="918" ht="12.75" customHeight="1">
      <c r="B918" s="10"/>
    </row>
    <row r="919" ht="12.75" customHeight="1">
      <c r="B919" s="10"/>
    </row>
    <row r="920" ht="12.75" customHeight="1">
      <c r="B920" s="10"/>
    </row>
    <row r="921" ht="12.75" customHeight="1">
      <c r="B921" s="10"/>
    </row>
    <row r="922" ht="12.75" customHeight="1">
      <c r="B922" s="10"/>
    </row>
    <row r="923" ht="12.75" customHeight="1">
      <c r="B923" s="10"/>
    </row>
    <row r="924" ht="12.75" customHeight="1">
      <c r="B924" s="10"/>
    </row>
    <row r="925" ht="12.75" customHeight="1">
      <c r="B925" s="10"/>
    </row>
    <row r="926" ht="12.75" customHeight="1">
      <c r="B926" s="10"/>
    </row>
    <row r="927" ht="12.75" customHeight="1">
      <c r="B927" s="10"/>
    </row>
    <row r="928" ht="12.75" customHeight="1">
      <c r="B928" s="10"/>
    </row>
    <row r="929" ht="12.75" customHeight="1">
      <c r="B929" s="10"/>
    </row>
    <row r="930" ht="12.75" customHeight="1">
      <c r="B930" s="10"/>
    </row>
    <row r="931" ht="12.75" customHeight="1">
      <c r="B931" s="10"/>
    </row>
    <row r="932" ht="12.75" customHeight="1">
      <c r="B932" s="10"/>
    </row>
    <row r="933" ht="12.75" customHeight="1">
      <c r="B933" s="10"/>
    </row>
    <row r="934" ht="12.75" customHeight="1">
      <c r="B934" s="10"/>
    </row>
    <row r="935" ht="12.75" customHeight="1">
      <c r="B935" s="10"/>
    </row>
    <row r="936" ht="12.75" customHeight="1">
      <c r="B936" s="10"/>
    </row>
    <row r="937" ht="12.75" customHeight="1">
      <c r="B937" s="10"/>
    </row>
    <row r="938" ht="12.75" customHeight="1">
      <c r="B938" s="10"/>
    </row>
    <row r="939" ht="12.75" customHeight="1">
      <c r="B939" s="10"/>
    </row>
    <row r="940" ht="12.75" customHeight="1">
      <c r="B940" s="10"/>
    </row>
    <row r="941" ht="12.75" customHeight="1">
      <c r="B941" s="10"/>
    </row>
    <row r="942" ht="12.75" customHeight="1">
      <c r="B942" s="10"/>
    </row>
    <row r="943" ht="12.75" customHeight="1">
      <c r="B943" s="10"/>
    </row>
    <row r="944" ht="12.75" customHeight="1">
      <c r="B944" s="10"/>
    </row>
    <row r="945" ht="12.75" customHeight="1">
      <c r="B945" s="10"/>
    </row>
    <row r="946" ht="12.75" customHeight="1">
      <c r="B946" s="10"/>
    </row>
    <row r="947" ht="12.75" customHeight="1">
      <c r="B947" s="10"/>
    </row>
    <row r="948" ht="12.75" customHeight="1">
      <c r="B948" s="10"/>
    </row>
    <row r="949" ht="12.75" customHeight="1">
      <c r="B949" s="10"/>
    </row>
    <row r="950" ht="12.75" customHeight="1">
      <c r="B950" s="10"/>
    </row>
    <row r="951" ht="12.75" customHeight="1">
      <c r="B951" s="10"/>
    </row>
    <row r="952" ht="12.75" customHeight="1">
      <c r="B952" s="10"/>
    </row>
    <row r="953" ht="12.75" customHeight="1">
      <c r="B953" s="10"/>
    </row>
    <row r="954" ht="12.75" customHeight="1">
      <c r="B954" s="10"/>
    </row>
    <row r="955" ht="12.75" customHeight="1">
      <c r="B955" s="10"/>
    </row>
    <row r="956" ht="12.75" customHeight="1">
      <c r="B956" s="10"/>
    </row>
    <row r="957" ht="12.75" customHeight="1">
      <c r="B957" s="10"/>
    </row>
    <row r="958" ht="12.75" customHeight="1">
      <c r="B958" s="10"/>
    </row>
    <row r="959" ht="12.75" customHeight="1">
      <c r="B959" s="10"/>
    </row>
    <row r="960" ht="12.75" customHeight="1">
      <c r="B960" s="10"/>
    </row>
    <row r="961" ht="12.75" customHeight="1">
      <c r="B961" s="10"/>
    </row>
    <row r="962" ht="12.75" customHeight="1">
      <c r="B962" s="10"/>
    </row>
    <row r="963" ht="12.75" customHeight="1">
      <c r="B963" s="10"/>
    </row>
    <row r="964" ht="12.75" customHeight="1">
      <c r="B964" s="10"/>
    </row>
    <row r="965" ht="12.75" customHeight="1">
      <c r="B965" s="10"/>
    </row>
    <row r="966" ht="12.75" customHeight="1">
      <c r="B966" s="10"/>
    </row>
    <row r="967" ht="12.75" customHeight="1">
      <c r="B967" s="10"/>
    </row>
    <row r="968" ht="12.75" customHeight="1">
      <c r="B968" s="10"/>
    </row>
    <row r="969" ht="12.75" customHeight="1">
      <c r="B969" s="10"/>
    </row>
    <row r="970" ht="12.75" customHeight="1">
      <c r="B970" s="10"/>
    </row>
    <row r="971" ht="12.75" customHeight="1">
      <c r="B971" s="10"/>
    </row>
    <row r="972" ht="12.75" customHeight="1">
      <c r="B972" s="10"/>
    </row>
    <row r="973" ht="12.75" customHeight="1">
      <c r="B973" s="10"/>
    </row>
    <row r="974" ht="12.75" customHeight="1">
      <c r="B974" s="10"/>
    </row>
    <row r="975" ht="12.75" customHeight="1">
      <c r="B975" s="10"/>
    </row>
    <row r="976" ht="12.75" customHeight="1">
      <c r="B976" s="10"/>
    </row>
    <row r="977" ht="12.75" customHeight="1">
      <c r="B977" s="10"/>
    </row>
    <row r="978" ht="12.75" customHeight="1">
      <c r="B978" s="10"/>
    </row>
    <row r="979" ht="12.75" customHeight="1">
      <c r="B979" s="10"/>
    </row>
    <row r="980" ht="12.75" customHeight="1">
      <c r="B980" s="10"/>
    </row>
    <row r="981" ht="12.75" customHeight="1">
      <c r="B981" s="10"/>
    </row>
    <row r="982" ht="12.75" customHeight="1">
      <c r="B982" s="10"/>
    </row>
    <row r="983" ht="12.75" customHeight="1">
      <c r="B983" s="10"/>
    </row>
    <row r="984" ht="12.75" customHeight="1">
      <c r="B984" s="10"/>
    </row>
    <row r="985" ht="12.75" customHeight="1">
      <c r="B985" s="10"/>
    </row>
    <row r="986" ht="12.75" customHeight="1">
      <c r="B986" s="10"/>
    </row>
    <row r="987" ht="12.75" customHeight="1">
      <c r="B987" s="10"/>
    </row>
    <row r="988" ht="12.75" customHeight="1">
      <c r="B988" s="10"/>
    </row>
    <row r="989" ht="12.75" customHeight="1">
      <c r="B989" s="10"/>
    </row>
    <row r="990" ht="12.75" customHeight="1">
      <c r="B990" s="10"/>
    </row>
    <row r="991" ht="12.75" customHeight="1">
      <c r="B991" s="10"/>
    </row>
    <row r="992" ht="12.75" customHeight="1">
      <c r="B992" s="10"/>
    </row>
    <row r="993" ht="12.75" customHeight="1">
      <c r="B993" s="10"/>
    </row>
    <row r="994" ht="12.75" customHeight="1">
      <c r="B994" s="10"/>
    </row>
    <row r="995" ht="12.75" customHeight="1">
      <c r="B995" s="10"/>
    </row>
    <row r="996" ht="12.75" customHeight="1">
      <c r="B996" s="10"/>
    </row>
    <row r="997" ht="12.75" customHeight="1">
      <c r="B997" s="10"/>
    </row>
    <row r="998" ht="12.75" customHeight="1">
      <c r="B998" s="10"/>
    </row>
    <row r="999" ht="12.75" customHeight="1">
      <c r="B999" s="10"/>
    </row>
    <row r="1000" ht="12.75" customHeight="1">
      <c r="B1000" s="10"/>
    </row>
    <row r="1001" ht="12.75" customHeight="1">
      <c r="B1001" s="10"/>
    </row>
  </sheetData>
  <hyperlinks>
    <hyperlink r:id="rId1" ref="B2"/>
    <hyperlink r:id="rId2" ref="B13"/>
    <hyperlink r:id="rId3" ref="B26"/>
    <hyperlink r:id="rId4" ref="B35"/>
    <hyperlink r:id="rId5" ref="B40"/>
    <hyperlink r:id="rId6" ref="B49"/>
    <hyperlink r:id="rId7" ref="B82"/>
    <hyperlink r:id="rId8" ref="B92"/>
  </hyperlinks>
  <printOptions/>
  <pageMargins bottom="0.75" footer="0.0" header="0.0" left="0.7" right="0.7" top="0.75"/>
  <pageSetup orientation="landscape"/>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2918</v>
      </c>
    </row>
    <row r="2">
      <c r="A2" s="5"/>
    </row>
    <row r="3">
      <c r="A3" s="5" t="s">
        <v>2919</v>
      </c>
    </row>
    <row r="4">
      <c r="A4" s="5"/>
      <c r="B4" s="5"/>
    </row>
    <row r="5">
      <c r="A5" s="5" t="s">
        <v>2920</v>
      </c>
      <c r="B5" s="5" t="s">
        <v>2921</v>
      </c>
    </row>
    <row r="6">
      <c r="B6" s="5" t="s">
        <v>2922</v>
      </c>
    </row>
    <row r="7">
      <c r="B7" s="5" t="s">
        <v>2923</v>
      </c>
    </row>
    <row r="9">
      <c r="A9" s="5" t="s">
        <v>2924</v>
      </c>
      <c r="B9" s="14" t="s">
        <v>2925</v>
      </c>
    </row>
    <row r="11">
      <c r="A11" s="5" t="s">
        <v>2926</v>
      </c>
      <c r="C11" s="14" t="s">
        <v>2927</v>
      </c>
    </row>
    <row r="13">
      <c r="A13" s="5" t="s">
        <v>2928</v>
      </c>
      <c r="C13" s="14" t="s">
        <v>2929</v>
      </c>
    </row>
  </sheetData>
  <hyperlinks>
    <hyperlink r:id="rId1" ref="B9"/>
    <hyperlink r:id="rId2" ref="C11"/>
    <hyperlink r:id="rId3" ref="C13"/>
  </hyperlinks>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